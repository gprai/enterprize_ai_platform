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D14F9AF8-00DF-4097-B747-EC268B1AF654}" xr6:coauthVersionLast="47" xr6:coauthVersionMax="47" xr10:uidLastSave="{00000000-0000-0000-0000-000000000000}"/>
  <bookViews>
    <workbookView xWindow="-108" yWindow="-108" windowWidth="23256" windowHeight="13896" tabRatio="844" firstSheet="5" activeTab="10"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7" i="2" l="1"/>
  <c r="H17" i="2" s="1"/>
  <c r="D16" i="2"/>
  <c r="H16" i="2" s="1"/>
  <c r="D15" i="2"/>
  <c r="H15" i="2" s="1"/>
  <c r="D18" i="2"/>
  <c r="H18" i="2" s="1"/>
  <c r="G5" i="2"/>
  <c r="D13" i="2"/>
  <c r="H13" i="2" s="1"/>
  <c r="D14" i="2"/>
  <c r="H14" i="2" s="1"/>
</calcChain>
</file>

<file path=xl/sharedStrings.xml><?xml version="1.0" encoding="utf-8"?>
<sst xmlns="http://schemas.openxmlformats.org/spreadsheetml/2006/main" count="5467" uniqueCount="2641">
  <si>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</si>
  <si>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</si>
  <si>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</si>
  <si>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Week</t>
  </si>
  <si>
    <t>Seq</t>
  </si>
  <si>
    <t>Priority</t>
  </si>
  <si>
    <t>Workstream</t>
  </si>
  <si>
    <t>Task / Outcome</t>
  </si>
  <si>
    <t>Why It Matters</t>
  </si>
  <si>
    <t>Owner</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</si>
  <si>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</si>
  <si>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</si>
  <si>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</si>
  <si>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</si>
  <si>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</si>
  <si>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</si>
  <si>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</si>
  <si>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</si>
  <si>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</si>
  <si>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</si>
  <si>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</si>
  <si>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</si>
  <si>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</si>
  <si>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</si>
  <si>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Week 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</si>
  <si>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</si>
  <si>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</si>
  <si>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</si>
  <si>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</si>
  <si>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</si>
  <si>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</si>
  <si>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</si>
  <si>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</si>
  <si>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</si>
  <si>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</si>
  <si>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</si>
  <si>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</si>
  <si>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</si>
  <si>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</si>
  <si>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Done</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</si>
  <si>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</si>
  <si>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</si>
  <si>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</si>
  <si>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</si>
  <si>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</si>
  <si>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</si>
  <si>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</si>
  <si>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</si>
  <si>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</si>
  <si>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</si>
  <si>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</si>
  <si>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</si>
  <si>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</si>
  <si>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</si>
  <si>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</si>
  <si>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</si>
  <si>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</si>
  <si>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</si>
  <si>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</si>
  <si>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</si>
  <si>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</si>
  <si>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</si>
  <si>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</si>
  <si>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</si>
  <si>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</si>
  <si>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</si>
  <si>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</si>
  <si>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</si>
  <si>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</si>
  <si>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</si>
  <si>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</si>
  <si>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</si>
  <si>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</si>
  <si>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</si>
  <si>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</si>
  <si>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</si>
  <si>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python -m tools.platformctl validate</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</si>
  <si>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</si>
  <si>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</si>
  <si>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</si>
  <si>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</si>
  <si>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</si>
  <si>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</si>
  <si>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</si>
  <si>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</si>
  <si>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</si>
  <si>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</si>
  <si>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</si>
  <si>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</si>
  <si>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</si>
  <si>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</si>
  <si>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</si>
  <si>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</si>
  <si>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</si>
  <si>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</si>
  <si>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</si>
  <si>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</si>
  <si>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</si>
  <si>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</si>
  <si>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</si>
  <si>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</si>
  <si>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</si>
  <si>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</si>
  <si>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</si>
  <si>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</si>
  <si>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</si>
  <si>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</si>
  <si>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</si>
  <si>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</si>
  <si>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</si>
  <si>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</si>
  <si>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</si>
  <si>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</si>
  <si>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</si>
  <si>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</si>
  <si>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</si>
  <si>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</si>
  <si>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</si>
  <si>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</si>
  <si>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</si>
  <si>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</si>
  <si>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</si>
  <si>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</si>
  <si>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</si>
  <si>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</si>
  <si>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</si>
  <si>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</si>
  <si>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</si>
  <si>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</si>
  <si>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</si>
  <si>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</si>
  <si>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</si>
  <si>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</si>
  <si>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</si>
  <si>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</si>
  <si>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</si>
  <si>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</si>
  <si>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</si>
  <si>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</si>
  <si>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</si>
  <si>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</si>
  <si>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</si>
  <si>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</si>
  <si>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</si>
  <si>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</si>
  <si>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</si>
  <si>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</si>
  <si>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</si>
  <si>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</si>
  <si>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</si>
  <si>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</si>
  <si>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</si>
  <si>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</si>
  <si>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</si>
  <si>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</si>
  <si>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</si>
  <si>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</si>
  <si>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</si>
  <si>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</si>
  <si>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</si>
  <si>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</si>
  <si>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</si>
  <si>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</si>
  <si>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</si>
  <si>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</si>
  <si>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</si>
  <si>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</si>
  <si>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</si>
  <si>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</si>
  <si>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</si>
  <si>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</si>
  <si>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W1-REVIEW-001</t>
  </si>
  <si>
    <t>All Week 1 TODOs</t>
  </si>
  <si>
    <t>Every MUST step is Done; no blocker or unapproved scope remains.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</si>
  <si>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</si>
  <si>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</si>
  <si>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</si>
  <si>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</si>
  <si>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</si>
  <si>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</si>
  <si>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</si>
  <si>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</si>
  <si>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</si>
  <si>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</si>
  <si>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</si>
  <si>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</si>
  <si>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</si>
  <si>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Owner completes the teach-back and records notes in docs/learning/W1-learning-review.md</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</si>
  <si>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</si>
  <si>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</si>
  <si>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</si>
  <si>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</si>
  <si>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</si>
  <si>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</si>
  <si>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</si>
  <si>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Week 2</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</si>
  <si>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</si>
  <si>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</si>
  <si>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</si>
  <si>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</si>
  <si>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</si>
  <si>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</si>
  <si>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</si>
  <si>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</si>
  <si>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</si>
  <si>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</si>
  <si>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</si>
  <si>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</si>
  <si>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</si>
  <si>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</si>
  <si>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</si>
  <si>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</si>
  <si>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</si>
  <si>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</si>
  <si>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</si>
  <si>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</si>
  <si>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</si>
  <si>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</si>
  <si>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</si>
  <si>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</si>
  <si>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</si>
  <si>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</si>
  <si>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</si>
  <si>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</si>
  <si>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Service is healthy; image version is pinned.</t>
  </si>
  <si>
    <t>docs/test-evidence/W2-03-qdrant.txt</t>
  </si>
  <si>
    <t>ADR-003</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</si>
  <si>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</si>
  <si>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</si>
  <si>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</si>
  <si>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</si>
  <si>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</si>
  <si>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</si>
  <si>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</si>
  <si>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</si>
  <si>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</si>
  <si>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</si>
  <si>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</si>
  <si>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</si>
  <si>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</si>
  <si>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</si>
  <si>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</si>
  <si>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</si>
  <si>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</si>
  <si>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</si>
  <si>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</si>
  <si>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</si>
  <si>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</si>
  <si>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</si>
  <si>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</si>
  <si>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</si>
  <si>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</si>
  <si>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</si>
  <si>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</si>
  <si>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</si>
  <si>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</si>
  <si>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</si>
  <si>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</si>
  <si>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</si>
  <si>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</si>
  <si>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</si>
  <si>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</si>
  <si>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</si>
  <si>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</si>
  <si>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</si>
  <si>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</si>
  <si>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</si>
  <si>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</si>
  <si>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</si>
  <si>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</si>
  <si>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</si>
  <si>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</si>
  <si>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</si>
  <si>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</si>
  <si>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</si>
  <si>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</si>
  <si>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</si>
  <si>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</si>
  <si>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</si>
  <si>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</si>
  <si>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</si>
  <si>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</si>
  <si>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</si>
  <si>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</si>
  <si>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</si>
  <si>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</si>
  <si>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</si>
  <si>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</si>
  <si>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</si>
  <si>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</si>
  <si>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</si>
  <si>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</si>
  <si>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</si>
  <si>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</si>
  <si>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</si>
  <si>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</si>
  <si>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</si>
  <si>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</si>
  <si>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</si>
  <si>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</si>
  <si>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</si>
  <si>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</si>
  <si>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</si>
  <si>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</si>
  <si>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</si>
  <si>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</si>
  <si>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</si>
  <si>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</si>
  <si>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</si>
  <si>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</si>
  <si>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</si>
  <si>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</si>
  <si>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</si>
  <si>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</si>
  <si>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</si>
  <si>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</si>
  <si>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</si>
  <si>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</si>
  <si>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</si>
  <si>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</si>
  <si>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Owner records the five-minute teach-back notes in docs/architecture/local-retrieval.md</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</si>
  <si>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</si>
  <si>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</si>
  <si>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</si>
  <si>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</si>
  <si>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</si>
  <si>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</si>
  <si>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</si>
  <si>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</si>
  <si>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W2-REVIEW-001</t>
  </si>
  <si>
    <t>BED-001, EVAL-001</t>
  </si>
  <si>
    <t>All MUST tests and cleanup evidence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</si>
  <si>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</si>
  <si>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</si>
  <si>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</si>
  <si>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</si>
  <si>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</si>
  <si>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</si>
  <si>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</si>
  <si>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</si>
  <si>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</si>
  <si>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</si>
  <si>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Owner completes the teach-back and records notes in docs/learning/W2-learning-review.md</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</si>
  <si>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</si>
  <si>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</si>
  <si>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</si>
  <si>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</si>
  <si>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Week 3</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</si>
  <si>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</si>
  <si>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</si>
  <si>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</si>
  <si>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</si>
  <si>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</si>
  <si>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</si>
  <si>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</si>
  <si>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</si>
  <si>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</si>
  <si>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</si>
  <si>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</si>
  <si>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</si>
  <si>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</si>
  <si>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</si>
  <si>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</si>
  <si>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</si>
  <si>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</si>
  <si>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</si>
  <si>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</si>
  <si>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</si>
  <si>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</si>
  <si>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</si>
  <si>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</si>
  <si>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</si>
  <si>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</si>
  <si>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</si>
  <si>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</si>
  <si>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</si>
  <si>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</si>
  <si>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</si>
  <si>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</si>
  <si>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</si>
  <si>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</si>
  <si>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</si>
  <si>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</si>
  <si>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</si>
  <si>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</si>
  <si>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</si>
  <si>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</si>
  <si>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</si>
  <si>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</si>
  <si>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</si>
  <si>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</si>
  <si>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</si>
  <si>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</si>
  <si>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</si>
  <si>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</si>
  <si>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</si>
  <si>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</si>
  <si>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</si>
  <si>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</si>
  <si>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</si>
  <si>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</si>
  <si>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</si>
  <si>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</si>
  <si>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</si>
  <si>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</si>
  <si>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</si>
  <si>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</si>
  <si>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</si>
  <si>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</si>
  <si>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</si>
  <si>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</si>
  <si>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</si>
  <si>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</si>
  <si>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</si>
  <si>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</si>
  <si>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</si>
  <si>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</si>
  <si>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</si>
  <si>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</si>
  <si>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</si>
  <si>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</si>
  <si>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</si>
  <si>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</si>
  <si>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</si>
  <si>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</si>
  <si>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python -m enterprise_ai_platform.evaluation.runner --dataset configs/eval/golden.jsonl --out reports/eval.json</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</si>
  <si>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</si>
  <si>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</si>
  <si>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</si>
  <si>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</si>
  <si>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</si>
  <si>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</si>
  <si>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</si>
  <si>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</si>
  <si>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</si>
  <si>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</si>
  <si>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</si>
  <si>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</si>
  <si>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</si>
  <si>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</si>
  <si>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</si>
  <si>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</si>
  <si>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</si>
  <si>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</si>
  <si>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</si>
  <si>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</si>
  <si>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</si>
  <si>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</si>
  <si>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</si>
  <si>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</si>
  <si>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</si>
  <si>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</si>
  <si>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</si>
  <si>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</si>
  <si>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</si>
  <si>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</si>
  <si>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</si>
  <si>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</si>
  <si>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</si>
  <si>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</si>
  <si>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</si>
  <si>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</si>
  <si>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</si>
  <si>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</si>
  <si>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</si>
  <si>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</si>
  <si>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</si>
  <si>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</si>
  <si>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</si>
  <si>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</si>
  <si>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</si>
  <si>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</si>
  <si>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</si>
  <si>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</si>
  <si>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</si>
  <si>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</si>
  <si>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</si>
  <si>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</si>
  <si>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</si>
  <si>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</si>
  <si>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W3-REVIEW-001</t>
  </si>
  <si>
    <t>APP-001</t>
  </si>
  <si>
    <t>Grounded answer or abstention works; security/regression/rollback tests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</si>
  <si>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</si>
  <si>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</si>
  <si>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</si>
  <si>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</si>
  <si>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</si>
  <si>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</si>
  <si>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</si>
  <si>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</si>
  <si>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</si>
  <si>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</si>
  <si>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Owner completes the teach-back and records notes in docs/learning/W3-learning-review.md</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</si>
  <si>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</si>
  <si>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</si>
  <si>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</si>
  <si>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</si>
  <si>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</si>
  <si>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Week 4</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</si>
  <si>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</si>
  <si>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</si>
  <si>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</si>
  <si>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</si>
  <si>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</si>
  <si>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</si>
  <si>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</si>
  <si>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</si>
  <si>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</si>
  <si>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</si>
  <si>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</si>
  <si>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</si>
  <si>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</si>
  <si>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</si>
  <si>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</si>
  <si>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</si>
  <si>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</si>
  <si>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</si>
  <si>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</si>
  <si>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</si>
  <si>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</si>
  <si>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</si>
  <si>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</si>
  <si>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</si>
  <si>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</si>
  <si>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</si>
  <si>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</si>
  <si>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</si>
  <si>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</si>
  <si>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</si>
  <si>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</si>
  <si>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</si>
  <si>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</si>
  <si>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</si>
  <si>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</si>
  <si>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</si>
  <si>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</si>
  <si>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</si>
  <si>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</si>
  <si>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</si>
  <si>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</si>
  <si>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</si>
  <si>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</si>
  <si>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</si>
  <si>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</si>
  <si>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</si>
  <si>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</si>
  <si>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</si>
  <si>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</si>
  <si>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</si>
  <si>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</si>
  <si>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</si>
  <si>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</si>
  <si>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</si>
  <si>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</si>
  <si>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</si>
  <si>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</si>
  <si>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</si>
  <si>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</si>
  <si>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</si>
  <si>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</si>
  <si>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</si>
  <si>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</si>
  <si>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</si>
  <si>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</si>
  <si>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</si>
  <si>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</si>
  <si>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</si>
  <si>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</si>
  <si>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</si>
  <si>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</si>
  <si>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</si>
  <si>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</si>
  <si>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</si>
  <si>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</si>
  <si>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</si>
  <si>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</si>
  <si>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</si>
  <si>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</si>
  <si>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</si>
  <si>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</si>
  <si>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</si>
  <si>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</si>
  <si>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</si>
  <si>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</si>
  <si>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</si>
  <si>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</si>
  <si>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</si>
  <si>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</si>
  <si>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</si>
  <si>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</si>
  <si>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</si>
  <si>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</si>
  <si>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</si>
  <si>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</si>
  <si>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</si>
  <si>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</si>
  <si>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</si>
  <si>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</si>
  <si>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</si>
  <si>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</si>
  <si>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</si>
  <si>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</si>
  <si>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</si>
  <si>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</si>
  <si>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</si>
  <si>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</si>
  <si>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</si>
  <si>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</si>
  <si>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</si>
  <si>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</si>
  <si>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</si>
  <si>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</si>
  <si>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</si>
  <si>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</si>
  <si>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</si>
  <si>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</si>
  <si>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</si>
  <si>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</si>
  <si>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</si>
  <si>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</si>
  <si>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</si>
  <si>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</si>
  <si>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</si>
  <si>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</si>
  <si>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</si>
  <si>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W4-REVIEW-001</t>
  </si>
  <si>
    <t>AWS-001, AWS-002, NET-001, TAG-001, COST-001</t>
  </si>
  <si>
    <t>All consequential actions are policy-valid and approved.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</si>
  <si>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</si>
  <si>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</si>
  <si>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</si>
  <si>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</si>
  <si>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</si>
  <si>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</si>
  <si>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</si>
  <si>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</si>
  <si>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</si>
  <si>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</si>
  <si>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Owner completes the teach-back and records notes in docs/learning/W4-learning-review.md</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</si>
  <si>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</si>
  <si>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</si>
  <si>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</si>
  <si>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</si>
  <si>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</si>
  <si>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Week 5</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</si>
  <si>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</si>
  <si>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</si>
  <si>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</si>
  <si>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</si>
  <si>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</si>
  <si>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</si>
  <si>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</si>
  <si>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</si>
  <si>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</si>
  <si>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</si>
  <si>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In Progress</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</si>
  <si>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</si>
  <si>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</si>
  <si>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 + Bedrock verification</t>
  </si>
  <si>
    <t>Build isolated encrypted/versioned S3 state with Terraform 1.5 DynamoDB locking, plus a provider-neutral Bedrock owner-verification utility.</t>
  </si>
  <si>
    <t>State must survive rollback, while model access, quota, quality, security and cost must be proven before Terraform apply/deployment approval.</t>
  </si>
  <si>
    <t>W5-001</t>
  </si>
  <si>
    <t>AWS-001, AWS-002, TAG-001, BED-001</t>
  </si>
  <si>
    <t>Bootstrap fmt/validate/Checkov passes; the verification utility fails closed and emits a redacted classified report; every AWS call remains owner-run.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</si>
  <si>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
W5-02 / BED-001 OWNER VERIFICATION — After activating the approved external environment and AWS SSO/assumed-role identity, validate configs/verification/bedrock-owner-test.json. The JSON contains only non-secret expected account, source Region, target type, exact model/profile IDs, explicit Service Quotas codes, evaluation paths, inference limits and cost ceiling; credentials remain outside the file. Run read-only STS, Bedrock control-plane and Service Quotas checks first. Only after explicit owner approval for network and paid model use, run one synthetic Converse smoke request and the existing 39-case quality/security evaluation. Write only a redacted reports/verification/bedrock-owner-test-result.json. Classify every check PASS, FAIL, NOT RUN or INDETERMINATE. Stop on account/Region/model/profile mismatch, ambiguous or insufficient quota, quality/security failure, cost ceiling, unexpected provider/Region substitution, content leakage or residue. The utility may report eligible_for_owner_approval=true but cannot approve itself or modify the immutable W3-002 baseline.</t>
  </si>
  <si>
    <t>Bootstrap plan contains only expected resources; Bedrock evidence proves identity/access/quota and, when approved and run, quality/security/cost eligibility without altering W3-002.</t>
  </si>
  <si>
    <t>docs/test-evidence/W5-02-bootstrap.txt; docs/test-evidence/W5-02-bedrock-verification.txt</t>
  </si>
  <si>
    <t>Destroy platform first; review bootstrap destroy separately. Verification creates no AWS resource; retain or remove only the approved local report and task cache.</t>
  </si>
  <si>
    <t>BED-001 verification is implemented in W5-02. Its live/paid result blocks Terraform apply/deployment approval, not code writing or static tests.</t>
  </si>
  <si>
    <t>Week 5 State bootstrap and BED-001 owner-verification task. After exact Code Edit Approval, Codex writes only the approved Terraform bootstrap plus the provider-neutral verification utility, non-secret JSON contract and deterministic fake-based tests. The owner runs every command and AWS call. Read-only identity/model/quota checks precede any paid call; a synthetic Converse smoke and the existing 39-case quality/security evaluation require explicit owner network/cost approval. The redacted report records identity match, access, exact quota evidence, metrics, security gates, tokens, estimated cost, lifecycle and PASS/FAIL/NOT RUN/INDETERMINATE. It never stores credentials, raw prompts, answers, evidence or provider payloads, never replaces the W3-002 baseline and never grants its own final approval. BED-001 verification must pass before Terraform apply/deployment approval; it does not block bounded code writing or static validation. State survives platform rollback and is removed last; the verification utility creates no AWS resource and its local report/cache lifecycle must be explicit.</t>
  </si>
  <si>
    <t>W5-03</t>
  </si>
  <si>
    <t>Security foundation</t>
  </si>
  <si>
    <t>Create KMS, private/versioned S3 and secret-metadata modules.</t>
  </si>
  <si>
    <t>Encryption and secret separation are foundational controls.</t>
  </si>
  <si>
    <t>KMS-001, TAG-001</t>
  </si>
  <si>
    <t>No public access or secret value resource exists.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</si>
  <si>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</si>
  <si>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</si>
  <si>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</si>
  <si>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</si>
  <si>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</si>
  <si>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</si>
  <si>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</si>
  <si>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</si>
  <si>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</si>
  <si>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</si>
  <si>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</si>
  <si>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</si>
  <si>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</si>
  <si>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</si>
  <si>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</si>
  <si>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</si>
  <si>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</si>
  <si>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</si>
  <si>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</si>
  <si>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</si>
  <si>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</si>
  <si>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</si>
  <si>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</si>
  <si>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</si>
  <si>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</si>
  <si>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</si>
  <si>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</si>
  <si>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</si>
  <si>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</si>
  <si>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</si>
  <si>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</si>
  <si>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</si>
  <si>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</si>
  <si>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</si>
  <si>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</si>
  <si>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</si>
  <si>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</si>
  <si>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</si>
  <si>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</si>
  <si>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</si>
  <si>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</si>
  <si>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</si>
  <si>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</si>
  <si>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</si>
  <si>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</si>
  <si>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</si>
  <si>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</si>
  <si>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</si>
  <si>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</si>
  <si>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</si>
  <si>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</si>
  <si>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</si>
  <si>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</si>
  <si>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</si>
  <si>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</si>
  <si>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</si>
  <si>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</si>
  <si>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</si>
  <si>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</si>
  <si>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</si>
  <si>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</si>
  <si>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</si>
  <si>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</si>
  <si>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</si>
  <si>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</si>
  <si>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</si>
  <si>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</si>
  <si>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</si>
  <si>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</si>
  <si>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</si>
  <si>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</si>
  <si>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</si>
  <si>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</si>
  <si>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</si>
  <si>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</si>
  <si>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</si>
  <si>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</si>
  <si>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</si>
  <si>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</si>
  <si>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</si>
  <si>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</si>
  <si>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</si>
  <si>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</si>
  <si>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</si>
  <si>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</si>
  <si>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</si>
  <si>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</si>
  <si>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</si>
  <si>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</si>
  <si>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</si>
  <si>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</si>
  <si>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</si>
  <si>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</si>
  <si>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</si>
  <si>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</si>
  <si>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</si>
  <si>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</si>
  <si>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</si>
  <si>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</si>
  <si>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</si>
  <si>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</si>
  <si>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</si>
  <si>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</si>
  <si>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</si>
  <si>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</si>
  <si>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</si>
  <si>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</si>
  <si>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</si>
  <si>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</si>
  <si>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</si>
  <si>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</si>
  <si>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</si>
  <si>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</si>
  <si>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</si>
  <si>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</si>
  <si>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W5-REVIEW-001</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</si>
  <si>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</si>
  <si>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</si>
  <si>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</si>
  <si>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</si>
  <si>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</si>
  <si>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</si>
  <si>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</si>
  <si>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Not Started</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</si>
  <si>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</si>
  <si>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</si>
  <si>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</si>
  <si>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</si>
  <si>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</si>
  <si>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Owner completes the teach-back and records notes in docs/learning/W5-learning-review.md</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</si>
  <si>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</si>
  <si>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</si>
  <si>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</si>
  <si>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</si>
  <si>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</si>
  <si>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Week 6</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</si>
  <si>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</si>
  <si>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</si>
  <si>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</si>
  <si>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</si>
  <si>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</si>
  <si>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</si>
  <si>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</si>
  <si>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</si>
  <si>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</si>
  <si>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</si>
  <si>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</si>
  <si>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</si>
  <si>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</si>
  <si>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</si>
  <si>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</si>
  <si>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</si>
  <si>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</si>
  <si>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</si>
  <si>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</si>
  <si>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</si>
  <si>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</si>
  <si>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</si>
  <si>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</si>
  <si>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</si>
  <si>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</si>
  <si>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</si>
  <si>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</si>
  <si>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</si>
  <si>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</si>
  <si>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</si>
  <si>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</si>
  <si>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</si>
  <si>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</si>
  <si>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</si>
  <si>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</si>
  <si>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</si>
  <si>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</si>
  <si>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</si>
  <si>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</si>
  <si>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</si>
  <si>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</si>
  <si>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</si>
  <si>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</si>
  <si>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</si>
  <si>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</si>
  <si>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</si>
  <si>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</si>
  <si>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</si>
  <si>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</si>
  <si>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</si>
  <si>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</si>
  <si>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</si>
  <si>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</si>
  <si>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</si>
  <si>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</si>
  <si>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</si>
  <si>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</si>
  <si>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</si>
  <si>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</si>
  <si>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</si>
  <si>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</si>
  <si>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</si>
  <si>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</si>
  <si>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</si>
  <si>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</si>
  <si>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</si>
  <si>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</si>
  <si>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</si>
  <si>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</si>
  <si>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</si>
  <si>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</si>
  <si>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</si>
  <si>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</si>
  <si>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</si>
  <si>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</si>
  <si>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</si>
  <si>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</si>
  <si>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</si>
  <si>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</si>
  <si>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</si>
  <si>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</si>
  <si>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</si>
  <si>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</si>
  <si>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</si>
  <si>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</si>
  <si>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</si>
  <si>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</si>
  <si>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</si>
  <si>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</si>
  <si>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</si>
  <si>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</si>
  <si>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</si>
  <si>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</si>
  <si>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</si>
  <si>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</si>
  <si>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</si>
  <si>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</si>
  <si>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</si>
  <si>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</si>
  <si>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</si>
  <si>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</si>
  <si>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</si>
  <si>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</si>
  <si>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</si>
  <si>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</si>
  <si>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</si>
  <si>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</si>
  <si>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</si>
  <si>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</si>
  <si>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</si>
  <si>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</si>
  <si>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</si>
  <si>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</si>
  <si>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</si>
  <si>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</si>
  <si>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</si>
  <si>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</si>
  <si>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</si>
  <si>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</si>
  <si>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</si>
  <si>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</si>
  <si>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</si>
  <si>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</si>
  <si>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</si>
  <si>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</si>
  <si>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</si>
  <si>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</si>
  <si>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</si>
  <si>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</si>
  <si>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</si>
  <si>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</si>
  <si>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</si>
  <si>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</si>
  <si>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</si>
  <si>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</si>
  <si>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</si>
  <si>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</si>
  <si>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</si>
  <si>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</si>
  <si>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</si>
  <si>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</si>
  <si>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</si>
  <si>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</si>
  <si>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</si>
  <si>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</si>
  <si>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</si>
  <si>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</si>
  <si>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</si>
  <si>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</si>
  <si>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</si>
  <si>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</si>
  <si>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Owner completes the teach-back and records notes in docs/learning/W6-learning-review.md</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</si>
  <si>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</si>
  <si>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</si>
  <si>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</si>
  <si>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</si>
  <si>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</si>
  <si>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</si>
  <si>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</si>
  <si>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</si>
  <si>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</si>
  <si>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</si>
  <si>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</si>
  <si>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</si>
  <si>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</si>
  <si>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</si>
  <si>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</si>
  <si>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</si>
  <si>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</si>
  <si>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</si>
  <si>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</si>
  <si>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</si>
  <si>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</si>
  <si>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</si>
  <si>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</si>
  <si>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</si>
  <si>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</si>
  <si>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</si>
  <si>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</si>
  <si>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</si>
  <si>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</si>
  <si>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</si>
  <si>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</si>
  <si>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</si>
  <si>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</si>
  <si>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</si>
  <si>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</si>
  <si>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</si>
  <si>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</si>
  <si>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</si>
  <si>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Gyan Prakash Rai</t>
  </si>
  <si>
    <t>Current week</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</si>
  <si>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</si>
  <si>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</si>
  <si>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</si>
  <si>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</si>
  <si>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</si>
  <si>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</si>
  <si>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</si>
  <si>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</si>
  <si>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Overall progress</t>
  </si>
  <si>
    <t>Blocked</t>
  </si>
  <si>
    <t>Open owner TODOs</t>
  </si>
  <si>
    <t>Tests passed</t>
  </si>
  <si>
    <t>Decisions approved</t>
  </si>
  <si>
    <t>Lifecycle tests passed</t>
  </si>
  <si>
    <t>Total</t>
  </si>
  <si>
    <t>Progress</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</si>
  <si>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</si>
  <si>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</si>
  <si>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</si>
  <si>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</si>
  <si>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</si>
  <si>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</si>
  <si>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</si>
  <si>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</si>
  <si>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</si>
  <si>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</si>
  <si>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</si>
  <si>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</si>
  <si>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</si>
  <si>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</si>
  <si>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</si>
  <si>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</si>
  <si>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</si>
  <si>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</si>
  <si>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</si>
  <si>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</si>
  <si>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</si>
  <si>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</si>
  <si>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</si>
  <si>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</si>
  <si>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</si>
  <si>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</si>
  <si>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</si>
  <si>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</si>
  <si>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</si>
  <si>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</si>
  <si>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</si>
  <si>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</si>
  <si>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</si>
  <si>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</si>
  <si>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</si>
  <si>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</si>
  <si>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</si>
  <si>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</si>
  <si>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</si>
  <si>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</si>
  <si>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</si>
  <si>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</si>
  <si>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</si>
  <si>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</si>
  <si>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</si>
  <si>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</si>
  <si>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</si>
  <si>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</si>
  <si>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</si>
  <si>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</si>
  <si>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</si>
  <si>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</si>
  <si>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</si>
  <si>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</si>
  <si>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sheet, evidence register, ADRs, TODOs and owner-supplied results</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</si>
  <si>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</si>
  <si>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</si>
  <si>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</si>
  <si>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</si>
  <si>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</si>
  <si>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</si>
  <si>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</si>
  <si>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</si>
  <si>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</si>
  <si>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</si>
  <si>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</si>
  <si>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</si>
  <si>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</si>
  <si>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</si>
  <si>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</si>
  <si>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</si>
  <si>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</si>
  <si>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</si>
  <si>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</si>
  <si>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</si>
  <si>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</si>
  <si>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</si>
  <si>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</si>
  <si>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</si>
  <si>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</si>
  <si>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</si>
  <si>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</si>
  <si>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Owner-written evidence: docs/architecture/local-retrieval.md</t>
  </si>
  <si>
    <t>Use only for owner learning and teach-back; no code, command or document mutation</t>
  </si>
  <si>
    <t>Week 2 sheet, evidence register, ADRs, TODOs and owner-supplied results</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</si>
  <si>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</si>
  <si>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</si>
  <si>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</si>
  <si>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</si>
  <si>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</si>
  <si>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Deferred</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</si>
  <si>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</si>
  <si>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</si>
  <si>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</si>
  <si>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</si>
  <si>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</si>
  <si>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</si>
  <si>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</si>
  <si>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</si>
  <si>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</si>
  <si>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</si>
  <si>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</si>
  <si>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</si>
  <si>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</si>
  <si>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</si>
  <si>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</si>
  <si>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</si>
  <si>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sheet, evidence register, ADRs, TODOs and owner-supplied results</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</si>
  <si>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</si>
  <si>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</si>
  <si>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</si>
  <si>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</si>
  <si>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</si>
  <si>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</si>
  <si>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</si>
  <si>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</si>
  <si>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</si>
  <si>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</si>
  <si>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</si>
  <si>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</si>
  <si>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</si>
  <si>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</si>
  <si>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</si>
  <si>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</si>
  <si>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</si>
  <si>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</si>
  <si>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</si>
  <si>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</si>
  <si>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</si>
  <si>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sheet, evidence register, ADRs, TODOs and owner-supplied results</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</si>
  <si>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</si>
  <si>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</si>
  <si>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</si>
  <si>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</si>
  <si>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</si>
  <si>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</si>
  <si>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</si>
  <si>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</si>
  <si>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</si>
  <si>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</si>
  <si>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</si>
  <si>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</si>
  <si>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</si>
  <si>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</si>
  <si>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</si>
  <si>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</si>
  <si>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</si>
  <si>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</si>
  <si>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</si>
  <si>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</si>
  <si>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</si>
  <si>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</si>
  <si>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</si>
  <si>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</si>
  <si>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</si>
  <si>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sheet, evidence register, ADRs, TODOs and owner-supplied results</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</si>
  <si>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</si>
  <si>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</si>
  <si>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</si>
  <si>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</si>
  <si>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</si>
  <si>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</si>
  <si>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</si>
  <si>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</si>
  <si>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</si>
  <si>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</si>
  <si>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</si>
  <si>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</si>
  <si>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</si>
  <si>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</si>
  <si>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</si>
  <si>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</si>
  <si>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</si>
  <si>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</si>
  <si>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</si>
  <si>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</si>
  <si>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</si>
  <si>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</si>
  <si>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</si>
  <si>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</si>
  <si>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</si>
  <si>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</si>
  <si>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</si>
  <si>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</si>
  <si>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</si>
  <si>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</si>
  <si>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</si>
  <si>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</si>
  <si>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</si>
  <si>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</si>
  <si>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</si>
  <si>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</si>
  <si>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</si>
  <si>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</si>
  <si>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</si>
  <si>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</si>
  <si>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</si>
  <si>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</si>
  <si>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</si>
  <si>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</si>
  <si>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</si>
  <si>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</si>
  <si>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</si>
  <si>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</si>
  <si>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</si>
  <si>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</si>
  <si>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</si>
  <si>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</si>
  <si>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</si>
  <si>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</si>
  <si>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</si>
  <si>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</si>
  <si>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</si>
  <si>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</si>
  <si>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</si>
  <si>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</si>
  <si>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</si>
  <si>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</si>
  <si>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</si>
  <si>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</si>
  <si>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</si>
  <si>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</si>
  <si>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</si>
  <si>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</si>
  <si>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</si>
  <si>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</si>
  <si>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</si>
  <si>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</si>
  <si>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</si>
  <si>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</si>
  <si>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</si>
  <si>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</si>
  <si>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</si>
  <si>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</si>
  <si>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</si>
  <si>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</si>
  <si>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</si>
  <si>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</si>
  <si>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</si>
  <si>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</si>
  <si>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</si>
  <si>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</si>
  <si>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</si>
  <si>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</si>
  <si>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</si>
  <si>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</si>
  <si>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</si>
  <si>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</si>
  <si>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</si>
  <si>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</si>
  <si>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</si>
  <si>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</si>
  <si>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</si>
  <si>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</si>
  <si>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</si>
  <si>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</si>
  <si>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</si>
  <si>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</si>
  <si>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</si>
  <si>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</si>
  <si>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</si>
  <si>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</si>
  <si>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</si>
  <si>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</si>
  <si>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</si>
  <si>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</si>
  <si>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</si>
  <si>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</si>
  <si>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</si>
  <si>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</si>
  <si>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</si>
  <si>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</si>
  <si>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</si>
  <si>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</si>
  <si>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</si>
  <si>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</si>
  <si>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</si>
  <si>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</si>
  <si>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</si>
  <si>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</si>
  <si>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</si>
  <si>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</si>
  <si>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</si>
  <si>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</si>
  <si>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</si>
  <si>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</si>
  <si>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</si>
  <si>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</si>
  <si>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</si>
  <si>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</si>
  <si>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</si>
  <si>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</si>
  <si>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</si>
  <si>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</si>
  <si>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</si>
  <si>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v1.3.5</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</si>
  <si>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</si>
  <si>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</si>
  <si>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</si>
  <si>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</si>
  <si>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</si>
  <si>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</si>
  <si>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</si>
  <si>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</si>
  <si>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</si>
  <si>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CTX-001</t>
  </si>
  <si>
    <t>All</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</si>
  <si>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</si>
  <si>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</si>
  <si>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</si>
  <si>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</si>
  <si>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v1.3.5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</si>
  <si>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</si>
  <si>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</si>
  <si>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</si>
  <si>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</si>
  <si>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</si>
  <si>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</si>
  <si>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</si>
  <si>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</si>
  <si>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</si>
  <si>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v1.3.5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</si>
  <si>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</si>
  <si>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TEST-001</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</si>
  <si>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</si>
  <si>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</si>
  <si>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</si>
  <si>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</si>
  <si>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v1.3.5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</si>
  <si>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</si>
  <si>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v1.3.5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</si>
  <si>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</si>
  <si>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</si>
  <si>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</si>
  <si>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</si>
  <si>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</si>
  <si>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</si>
  <si>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v1.3.5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</si>
  <si>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</si>
  <si>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</si>
  <si>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</si>
  <si>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</si>
  <si>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</si>
  <si>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v1.3.5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</si>
  <si>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</si>
  <si>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</si>
  <si>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</si>
  <si>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</si>
  <si>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</si>
  <si>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</si>
  <si>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v1.3.5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</si>
  <si>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</si>
  <si>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</si>
  <si>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</si>
  <si>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</si>
  <si>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v1.3.5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</si>
  <si>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</si>
  <si>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</si>
  <si>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</si>
  <si>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</si>
  <si>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</si>
  <si>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v1.3.5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</si>
  <si>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</si>
  <si>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</si>
  <si>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</si>
  <si>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</si>
  <si>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</si>
  <si>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</si>
  <si>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</si>
  <si>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</si>
  <si>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v1.3.5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</si>
  <si>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</si>
  <si>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</si>
  <si>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</si>
  <si>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</si>
  <si>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</si>
  <si>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v1.3.5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</si>
  <si>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</si>
  <si>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</si>
  <si>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</si>
  <si>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</si>
  <si>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v1.3.5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</si>
  <si>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</si>
  <si>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</si>
  <si>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</si>
  <si>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</si>
  <si>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</si>
  <si>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</si>
  <si>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</si>
  <si>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</si>
  <si>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v1.3.5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</si>
  <si>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</si>
  <si>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</si>
  <si>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docs/governance/Enterprise_AI_Architecture_6_Week_Execution_Tracker_v1.3.5_repaired.xlsx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</si>
  <si>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</si>
  <si>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</si>
  <si>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</si>
  <si>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v1.3.5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</si>
  <si>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</si>
  <si>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</si>
  <si>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</si>
  <si>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ROLLBACK AND TEARDOWN</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</si>
  <si>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</si>
  <si>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</si>
  <si>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OWNER-CONTROLLED WORKFLOW — FOUR APPROVAL GATES PLUS OWNER TESTING AND WEEKLY LEARNING — TRACKER v1.3.5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docs/governance/Enterprise_AI_Architecture_6_Week_Execution_Tracker_v1.3.5_repaired.xlsx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</si>
  <si>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READY FOR PRE-EDIT REVIEW — W3-001</t>
  </si>
  <si>
    <t>W3-01, W3-02, W3-03, W3-04</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</si>
  <si>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</si>
  <si>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</si>
  <si>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</si>
  <si>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OWNER-CONTROLLED WORKFLOW — FOUR APPROVAL GATES PLUS OWNER TESTING AND LEARNING — TRACKER v1.3.5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docs/governance/Enterprise_AI_Architecture_6_Week_Execution_Tracker_v1.3.5_repaired.xlsx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</si>
  <si>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READY FOR PRE-EDIT REVIEW — W3-002</t>
  </si>
  <si>
    <t>W3-06, W3-07, W3-10</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</si>
  <si>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</si>
  <si>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</si>
  <si>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</si>
  <si>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FOUR APPROVAL GATES PLUS OWNER TESTING AND WEEKLY LEARNING — TRACKER v1.3.5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</si>
  <si>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READY FOR PRE-EDIT REVIEW — W3-003</t>
  </si>
  <si>
    <t>W3-05, W3-08</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</si>
  <si>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</si>
  <si>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</si>
  <si>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</si>
  <si>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FOUR APPROVAL GATES PLUS OWNER TESTING AND WEEKLY LEARNING — TRACKER v1.3.5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</si>
  <si>
    <t>READY FOR PRE-EDIT REVIEW — W3-ROLLBACK-001</t>
  </si>
  <si>
    <t>FINAL W3-004 COLUMN L CODE EDIT APPROVAL
TRACKER PROMPT ID — W3-ROLLBACK-001
SEQUENCE ALIAS — W3-004
OWNER AUTHORIZATION
I approve bounded code, configuration and automated-test-code writing for W3-ROLLBACK-001 exactly within this document.
This approval incorporates:
the final W3-004 Main Prompt;
D1 as the previously approved W3-002 baseline authority;
D2–D11 exactly as approved by the owner;
D12 and the final Gate 2 read-only reconciliation;
Gate 2 record Pasted markdown(20260827-082004).md, SHA-256 930aff1ee226c62e56ecff09220257449d8a69448a6460b8ae58feb77af98bc2.
Gate 2 status: READY FOR FINAL W3-004 COLUMN L APPROVAL.
AUTHORIZATION TYPE
This is a Code Edit Approval only.
Codex may create or update only the exact 28 editable repository paths listed below. Codex must not run tests, linting, type checking, validation, formatting, evaluation, the rollback drill, report generation, cleanup, deployment or teardown. Codex must not write narrative evidence or Column M/N documents, edit Excel, mutate Git, install/download anything, access a network/service/model/cloud provider, start a process or create runtime drill state.
BINDING PRE-EDIT IDENTITIES
Repository root:
E:\AI\enterprise_ai_platform
Gate 2 repository HEAD:
0e803afc17e676fc10360b312cbb435549920190
Gate 2 working tree: clean.
Approved W3-002 authority:
Baseline path: configs/eval/baselines/w3-002-v1.json
Baseline SHA-256: 4bbc8f24af911ba09356196e9285d261549926c713110f9549929e1e4ac9086f
Candidate SHA-256: f259784666c180145c4dbb0f4757fbac2505eba059c6ee06510c6906cb3546cf
Repeat SHA-256: d35c1ee13a54cda78e7514a84cd9af6e6086236a4095f7824f52cdbc46d2da1a
Golden dataset raw SHA-256: 809aac88f84dd44aeb96c676f3bad229164a0767c6fc9d0ebeeb01b6823c06c2
Canonical dataset SHA-256: e3ff344d9904ea0e9cff722441bbe8237105e6131e1f57d0ca42d35ddad410f9
Evaluation configuration SHA-256: 4564b1935c1c072281f90a63c1ac80315709e35e6aab8e0803d0a9abf5c189df
RAG configuration SHA-256: 5cb62932bbc0a0c11e494912bdcc5b4b48bd4195e3ca58bda2df27227070b27e
The existing reports retain their historical NO_APPROVED_BASELINE and release_eligible=false fields. The later promoted baseline is the immutable known-good comparison authority. Do not rewrite or reinterpret the reports.
MANDATORY IMMEDIATE PRE-EDIT CHECK
Immediately before the first edit, re-read read-only:
the complete current 40-character HEAD;
relevant clean status;
approved baseline, candidate and repeat report hashes;
canonical dataset, evaluation configuration and RAG configuration identities;
all 17 CREATE paths and confirm they remain absent;
all 11 UPDATE paths and confirm they remain present;
every approved patch context, producer and consumer for all 28 paths;
the exact Gate 2 manifest and approved D2–D11 contracts.
An open Excel process, workbook lock file or owner-managed workbook change is not a blocker and is outside this task.
If any governed identity, editable path, consumer or patch context drifted; any CREATE path now exists; any UPDATE path is absent; the work requires another path/dependency/delete; or the current repository content cannot be represented by the verified HEAD, edit nothing and return exactly:
BLOCKED — BASELINE CHANGED — W3-ROLLBACK-001.
Do not silently reconcile, reclassify or expand the manifest.
APPROVED IMPLEMENTATION CONTRACT
Implement D2–D10 exactly as approved. D11 remains later documentation planning only.
D2 — known-good identity N
Represent the approved controlled W3-002 fake-evaluation composition and approved transitive producer fingerprints.
Include only the producer identities approved during Gate 1/Gate 2.
Keep the evaluation baseline, repository identity, prompt, provider fixture profile, RAG configuration, retriever/corpus identity, dataset and evaluation configuration distinct.
Do not create a second mutable source of truth.
D3 — schema and hashing
Use strict canonical JSON and SHA-256 over the approved semantic payload.
Reject missing, duplicated, unknown, malformed, incompatible or hash-mismatched content before state mutation.
Use the approved fixed paths, transitive baseline reference and three derived semantic fingerprints.
Formatting-only differences must not create a different semantic identity; a semantic change must change its fingerprint.
D4 — activation
Use drill-only active.json state.
Use an exclusive writer lock, expected-current compare-and-swap, same-directory atomic replacement and post-lock generation recheck.
Preserve deterministic concurrent-reader behavior.
Repeating an already-completed activation/rollback is safely idempotent or returns the approved precise non-destructive classification.
Never destroy immutable N.
D5 — controlled regression N+1
Change only the approved controlled-provider fixture profile.
Use the approved Q1/Q2 invalid-citation scenario and exact Gate 1 expected metrics/signals.
Do not change the golden dataset, expected facts, citations, thresholds, tolerances, hard blockers, report schema, prompt content or real provider settings.
The regression must be local, deterministic, synthetic, reversible and content-safe.
D6 — outputs and lifecycle
The only approved repository-local runtime artifacts for later owner execution are:
reports/w3-004/active.json
reports/w3-004/regression.json
reports/w3-004/restored.json
reports/w3-004/rollback-record.json
reports/w3-004/activation.lock
approved same-directory temporary siblings
Reports are atomic and no-overwrite.
Failed evidence is retained until captured.
Cleanup is permitted only after the owner verifies successful external archival.
Repository-local drill outputs are then removed through the approved cleanup and zero-residue flow.
The owner retains the external archive outside the repository for 180 days and deletes it afterward.
Cleanup must never remove identity descriptors, baseline, dataset/configuration inputs or retained W3-002 reports.
D7 — CLI
Implement only these fixed subcommands in tools/ragrollbackctl.py:
validate
initialize
activate-regression
evaluate-regression
rollback
evaluate-restored
finalize
verify-clean
cleanup
verify-zero-residue
Do not update the Makefile. Do not add aliases, network modes, implicit chaining or automatic fallback.
D8 — ownership
Feature owner: RAG-001.
Status remains In Progress.
Append tracker step W3-11 in the approved order.
Reconcile exactly 17 CREATE then 11 UPDATE implementation paths without duplicates.
Keep EVAL-001 unchanged.
D9 — services
Add no Qdrant, OpenSearch, Docker, API, live model, Bedrock, network, cloud, environment-variable or dependency lifecycle. The implementation is deterministic and local.
D10 — failure and evidence behavior
Preserve the approved PASS, FAIL and INDETERMINATE rules.
Use content-free safe error codes and redacted evidence.
Retain failed reports without overwriting them.
Keep N immutable and provide no automatic fallback.
After restored-N evaluation failure, stop and require a separately approved forward fix.
Partial success must never be classified as PASS.
EXACT COLUMN L MANIFEST
CREATE — exactly 17
configs/rag/versions/w3-002-v1.json — immutable N identity descriptor using strict w3-004.rag-identity.v1.
configs/rag/versions/w3-004-synthetic-regression-v1.json — immutable N+1 descriptor changing only the approved controlled-provider fixture profile.
src/enterprise_ai_platform/rag_rollback/__init__.py — explicit public rollback contracts only.
src/enterprise_ai_platform/rag_rollback/errors.py — content-free exception hierarchy and approved safe codes.
src/enterprise_ai_platform/rag_rollback/models.py — strict identity, activation, artifact, expectation and rollback-record models.
src/enterprise_ai_platform/rag_rollback/identity.py — canonical JSON, SHA-256, fixed-path loading and compatibility validation.
src/enterprise_ai_platform/rag_rollback/state.py — activation reader, CAS, lock, atomic replacement, no-overwrite artifacts, residue and cleanup.
src/enterprise_ai_platform/rag_rollback/service.py — approved validate/initialize/activate/evaluate/rollback/finalize/cleanliness orchestration.
tools/ragrollbackctl.py — fixed local bootstrap and ten approved subcommands.
tests/unit/test_rag_rollback_identity.py — schema, hash, provenance, compatibility and invalid-fixture coverage.
tests/unit/test_rag_rollback_state.py — atomicity, idempotency, locking, CAS, cancellation, partial-failure and no-overwrite coverage.
tests/contract/test_rag_rollback_contract.py — public schemas, safe codes, fixed paths, strictness and redaction coverage.
tests/integration/test_rag_rollback_composition.py — identity/state/evaluator composition and ordinary-evaluator compatibility.
tests/feature/test_w3_004_rag_rollback.py — N to N+1 to detected regression to restored N comparison flow.
tests/security/test_w3_004_rag_rollback_security.py — traversal/symlink, provenance, redaction, authorization, citation suppression and zero-tool coverage.
tests/rollback/test_w3_004_rag_rollback.py — failed restore, already-restored, immutable-N and forward-fix coverage.
tests/teardown/test_w3_004_rag_rollback_cleanliness.py — retained evidence, scoped cleanup, immutable protection and zero-residue coverage.
UPDATE — exactly 11
.gitignore — add only exact W3-004 state/report/lock/temporary entries; no broad reports ignore.
src/enterprise_ai_platform/rag/prompt.py — preserve _SYSTEM_PROMPT; add deterministic prompt_template_sha256() only.
src/enterprise_ai_platform/evaluation/evaluator.py — add CaseFixtureFactory; default it in DeterministicRAGEvaluator.__init__; use it in _evaluate_case; preserve all ordinary callers.
feature-matrix.yaml — synchronize RAG-001 paths and W3-11; preserve status In Progress; keep EVAL-001 unchanged.
tools/platformctl/validate.py — exact W3-004 manifest, deduplicated cumulative RAG paths, required files/directories and W3-11 validation.
tests/unit/test_platformctl.py — exact 28-path assertions while preserving earlier contracts.
tests/feature/test_feature_matrix.py — RAG-001 owner, order, uniqueness, status and W3-11 assertions.
tests/unit/test_prompt_template.py — prompt semantic SHA-256 and unchanged prompt/request behavior.
tests/unit/test_evaluation_runner.py — replace only the obsolete baseline-absence assertion with exact retained-baseline hash/inventory protection.
tests/teardown/test_w3_002_evaluation_cleanliness.py — retain the promoted baseline and delegate only the exact W3-004 runtime area.
tests/teardown/test_w3_003_guardrails_cleanliness.py — preserve baseline/report hashes and permit only the controlled W3-004 runtime boundary.
DELETE — exactly 0
None
VERIFIED UNCHANGED CONSUMERS AND AUTHORITIES
Do not modify:
.env.example
Makefile
pyproject.toml
requirements.txt
requirements-dev.txt
configs/rag.yaml
configs/eval/golden.jsonl
configs/eval/w3-002.yaml
configs/eval/baselines/w3-002-v1.json
reports/eval.json
reports/eval-repeat.json
data/sample/corpus-manifest.json
src/enterprise_ai_platform/app.py
src/enterprise_ai_platform/config.py
src/enterprise_ai_platform/json_contracts.py
src/enterprise_ai_platform/rag/__init__.py
src/enterprise_ai_platform/rag/config.py
src/enterprise_ai_platform/rag/errors.py
src/enterprise_ai_platform/rag/models.py
src/enterprise_ai_platform/rag/service.py
src/enterprise_ai_platform/guardrails/__init__.py
src/enterprise_ai_platform/guardrails/adapter.py
src/enterprise_ai_platform/guardrails/errors.py
src/enterprise_ai_platform/guardrails/models.py
src/enterprise_ai_platform/guardrails/policy.py
src/enterprise_ai_platform/llm/bedrock.py
src/enterprise_ai_platform/llm/errors.py
src/enterprise_ai_platform/llm/fake.py
src/enterprise_ai_platform/llm/factory.py
src/enterprise_ai_platform/llm/models.py
src/enterprise_ai_platform/llm/provider.py
src/enterprise_ai_platform/retrieval/authorization.py
src/enterprise_ai_platform/retrieval/models.py
src/enterprise_ai_platform/retrieval/service.py
src/enterprise_ai_platform/retrieval/vector_store.py
src/enterprise_ai_platform/evaluation/__init__.py
src/enterprise_ai_platform/evaluation/baseline.py
src/enterprise_ai_platform/evaluation/config.py
src/enterprise_ai_platform/evaluation/dataset.py
src/enterprise_ai_platform/evaluation/errors.py
src/enterprise_ai_platform/evaluation/fixtures.py
src/enterprise_ai_platform/evaluation/metrics.py
src/enterprise_ai_platform/evaluation/models.py
src/enterprise_ai_platform/evaluation/promotion.py
src/enterprise_ai_platform/evaluation/report.py
src/enterprise_ai_platform/evaluation/runner.py
tools/evaluationctl.py
tools/platformctl/cli.py
tests/integration/test_repository_layout.py
tests/unit/test_evaluation_dataset.py
tests/feature/test_w2_002_embedder_contract.py
tests/feature/test_w2_003_ingestion_contract.py
tests/feature/test_w3_002_offline_evaluation.py
tests/security/test_w3_002_evaluation_security.py
tests/rollback/test_w3_002_evaluation_rollback.py
tests/unit/test_rag_pipeline.py
tests/contract/test_rag_config.py
tests/contract/test_rag_result.py
tests/feature/test_w3_001_cited_rag.py
tests/security/test_w3_001_cited_rag_security.py
tests/rollback/test_w3_001_rag_rollback.py
tests/teardown/test_w3_001_rag_cleanliness.py
tests/unit/test_guardrails.py
tests/contract/test_guardrail_contract.py
tests/integration/test_guardrail_composition.py
tests/feature/test_w3_003_guardrails.py
tests/security/test_w3_003_guardrails_security.py
tests/rollback/test_w3_003_guardrails_rollback.py
Inspecting these paths for compatibility is permitted. Editing them is prohibited.
PROTECTED INVARIANTS
Column L must preserve:
golden questions, expected facts, provenance, dataset identities and fixture truth;
metric definitions, thresholds, tolerances, hard blockers and report schema;
immutable W3-002 baseline and retained candidate/repeat reports;
W3-001 authorization, citation, abstention, provider-failure and no-output-logging behavior;
W3-003 input validation, authorization revalidation, injection-as-data, zero-tool execution and redaction;
ordinary W3-002 evaluation using configs/rag.yaml;
health-only FastAPI application behavior;
existing tools/evaluationctl.py and Make targets;
dependency and environment-variable sets.
TEST CODE AUTHORITY, NOT TEST EXECUTION
The eight approved test CREATE paths and six approved test UPDATE paths may be written as part of the 28-path manifest. No test, subtest, linter, type checker, validator, CLI or drill command may be executed under Column L.
After implementation, the owner separately controls one-command-at-a-time testing, regression activation, rollback, evidence archival, cleanup and zero-residue verification. Do not claim PASS for any new or modified code.
COLUMN M/N BOUNDARY
Do not create or update these later documentation paths during Column L:
CREATE docs/rollback-records/W3-rag.md
CREATE docs/test-evidence/W3-004.md
CREATE docs/test-evidence/W3-11-rag-rollback.txt
UPDATE docs/test-evidence/README.md
D11 approves this later manifest for planning only. Column M requires separate authority after owner testing. Column N requires separate final owner facts and approval.
EXCLUDED AND DEFERRED
Excel/tracker editing.
Git staging, commit, push, reset, checkout or history mutation.
Narrative evidence and report generation.
Test, evaluation, rollback-drill, cleanup or teardown execution.
Live Bedrock/model, vendor guardrail or judge activity.
Qdrant, OpenSearch, Docker, API or deployed runtime activity.
Network, registry or cloud access.
Performance, capacity and positive telemetry work.
W3-12 release activity.
Cloud rollback or teardown.
Any path outside the exact 28-path manifest.
REQUIRED CODE-WRITING HANDOFF
After editing, perform read-only reconciliation only. Do not run verification commands.
Return:
the complete current 40-character HEAD used for the edit basis;
exact CREATE/UPDATE/DELETE reconciliation;
one row for each of the 28 editable paths with its classification and implemented purpose;
confirmation that every CREATE path was newly created and every UPDATE path was pre-existing;
confirmation that no extra path, dependency or environment variable changed;
confirmation that protected baseline, dataset, reports and consumers were not modified;
confirmation that no runtime drill artifact, narrative evidence or documentation was created;
tests, linting, type checking, evaluation and drill status: NOT RUN — OWNER CONTROLLED;
network/provider/cloud activity: none;
platform/provider cost: USD 0; local resource cost unmeasured;
warnings, limitations, deferred work and any implementation uncertainty;
exact owner testing handoff without executing a command.
Manifest reconciliation must be exactly:
CREATE: 17
UPDATE: 11
EDITABLE: 28
DELETE: 0
ADDITIONAL PATHS: 0
If implementation cannot remain inside this authority, stop before the unapproved change and return:
BLOCKED — COLUMN L BOUNDARY CHANGE REQUIRED — W3-ROLLBACK-001.
If code writing and reconciliation complete successfully, end exactly:
CODE WRITING COMPLETE —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</si>
  <si>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docs/rollback-records/W3-rag.md
- docs/test-evidence/W3-004.md
- docs/test-evidence/W3-11-rag-rollback.txt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</si>
  <si>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</si>
  <si>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FOUR APPROVAL GATES PLUS OWNER TESTING AND WEEKLY LEARNING — TRACKER v1.3.5
MAIN PROMPT — W4-001
TASK IDENTITY
Week: Week 4
Feature/outcome: FastAPI service boundary
Business purpose: Expose production-shaped, testable endpoints through a thin typed boundary that isolates clients from implementation details.
Covered tracker steps: W4-01, W4-02, W4-10
Required upstream input: approved Week 1–3 local contracts and evidence; fake providers by default; exact authentication dependency decision
Expected outputs: approved bounded code/configuration/test-code changes; owner test/remediation/rollback/teardown guide; later evidence and business/technical/layman/interview documentation
Task type: implementation
First permitted activity: Gate 1 read-only impact review
Next possible approval after Gate 1: exact bounded Column L Code Edit Approval supplied separately by the owner
BUSINESS OUTCOME
Implement a safe HTTP boundary for the approved local RAG capability so a client can check service health and submit an authorized query without depending on internal retrieval, provider or guardrail implementation details.
The boundary must:
preserve the approved grounded-answer, citation, abstention, authorization and guardrail behavior from Week 3;
return stable typed schemas, normalized errors and a request ID;
deny an untrusted or unauthorized request before retrieval, provider or future tool execution;
remain deterministic and fake-only for ordinary local testing;
limit request size, time and concurrency so overload fails predictably;
expose no prompt, retrieved content, chain-of-thought, credential, PII, raw exception or internal endpoint;
keep agent behavior disabled until W4-002 is separately implemented, tested and approved;
produce a bounded local latency/concurrency report only when the recorded W4-10 dependencies and owner execution approval are satisfied.
This task does not create autonomous agent behavior, telemetry infrastructure, a deployed release, a container image, Qdrant/OpenSearch lifecycle, AWS resources or a production API.
OWNER-CONTROLLED FIRST RESPONSE — GATE 1 ONLY
When this Main Prompt is first invoked:
Inspect the current repository, tracker, approved evidence and governing records read-only.
Do not create, edit, delete, move, install, download, execute tests, lint, format, build, start a service, run a load test, deploy, remediate, roll back, tear down, contact a registry/cloud/model service, mutate Git or edit Excel.
Do not assume that a path, symbol, dependency, schema or current Git state still matches an earlier conversation.
Re-read every proposed path and every direct or indirect consumer immediately before recommending Column L.
Do not write Column L, code, tests, reports, documentation, evidence or tracker updates during Gate 1.
Return the complete read-only impact analysis, all exact blocking decisions and one reconciled proposed manifest.
Open Excel processes, ~$ workbook lock files and uncommitted workbook changes are non-blocking and are not owner-decision fields for Column L. The owner alone decides when to save or update the tracker.
SOURCE PRECEDENCE AND NO SILENT RECONCILIATION
Use the repository's approved source-precedence decision and current evidence. Distinguish:
governing design and tracker scope;
current repository implementation;
owner-approved evidence and decisions;
historical failures and statuses;
proposals for W4-001;
unknown or deferred values.
If tracker status, evidence, repository state or this prompt conflict, report the exact conflict. Do not silently choose one, rewrite history or treat an outdated status as a current implementation fact. Ask for one consolidated owner decision when the conflict affects editing.
ORIGINAL TRACKER PLAN — PRESERVE EXACTLY
W4-01 — API
Requirement: Implement health, query and agent endpoints using dependency interfaces.
Business reason: A thin typed boundary isolates clients from implementation details.
Acceptance: Endpoints return normalized schemas and request IDs.
Recorded dependency: W3-13
Owner verification reference: pytest tests/unit/test_api.py -q
Expected result: Health and fake-query tests pass; no internal prompt/error leak.
Canonical evidence: docs/test-evidence/W4-01-api.txt
Rollback: Roll back image/config and disable the new route.
W4-02 — Authorization
Requirement: Implement auth-context interface and deny before retrieval/action.
Business reason: Identity and authorization are deterministic platform controls.
Acceptance: An unauthorized query never invokes the retriever or a tool.
Recorded dependency: W4-01
Owner verification reference: pytest tests/security/test_api_authorization.py -q
Expected result: Mock-call assertions prove deny-before-retrieve.
Canonical evidence: docs/test-evidence/W4-02-auth.txt
Rollback: Disable the endpoint or restore the previous auth dependency.
W4-10 — Performance
Requirement: Run a bounded local smoke/load test with a fake or separately approved model.
Business reason: Concurrency and timeouts must fail predictably before EKS.
Acceptance: No unbounded queue; p95 and p99 baseline recorded.
Recorded dependencies: W4-01, W4-06
Owner verification reference: pytest tests/feature/test_api_load_smoke.py -q
Expected result: Redacted latency/error/concurrency report.
Canonical evidence: docs/test-evidence/W4-10-load.json
Rollback: Reduce traffic and restore the previous concurrency settings.
Do not remove a tracker step, change its dependency or move it to another feature. Gate 1 must make the sequencing impact explicit: W4-10 cannot receive final PASS or evidence closure while W4-06 remains unimplemented or unapproved. Determine whether W4-10 test code can be prepared safely now while execution and closure remain NOT RUN, or whether the entire W4-10 edit must wait. The owner must approve that exact boundary.
VERIFIED UPSTREAM FACTS TO REVALIDATE, NOT REIMPLEMENT
The following facts are owner-supplied planning inputs. Gate 1 must verify their current repository/evidence counterparts and report any drift.
Week 1 foundation
Repository contracts, typed settings, application factory, health-only FastAPI foundation, test categories, fake providers, evidence classification and owner-gated lifecycle controls were implemented and approved.
The existing /health contract and its tests are protected. W4-001 must inspect it and preserve backward compatibility unless the owner separately approves a breaking change.
Ordinary tests exclude AWS and paid activity by default.
The accepted Starlette/FastAPI TestClient deprecation warning remains visible; do not change dependencies merely to remove it.
Week 1 tracker rows are recorded as Done in the latest tracker.
Week 2 retrieval foundation
W2-001 local retrieval contracts, deterministic fake, tenant-isolation controls, injected vector-store boundaries and internal-only Qdrant test pattern received final approval.
W2-002 local embedding contract, deterministic fake, verified 384-dimensional normalized vectors and offline CPU snapshot received final approval.
Secure ingestion and PII-before-embedding contracts may exist in the repository, but Gate 1 must use only the exact currently approved evidence and must not infer live Qdrant, OpenSearch, AWS, production identity or real-enterprise-data approval.
No W4-001 route may directly access Qdrant, OpenSearch, an embedder, an ingestion pipeline or document content. It delegates through approved service interfaces.
The latest tracker contains stale or incomplete Week 2 status cells; report them but do not use them to overwrite owner-approved repository evidence.
Week 3 cited-RAG foundation
W3-001, W3-002, W3-003 and W3-004 are owner-recorded as implemented, owner-tested, documented and final-approved in the deterministic local scope.
Test progression recorded at task closure was 344 ordinary tests after W3-001, 393 after W3-002, 439 after W3-003 and 465 after W3-004. The latest W3-004 complete suite recorded 465 passed, 7 skipped, 4 deselected, 10 subtests and 1 accepted warning.
The approved immutable W3-002 evaluation baseline is configs/eval/baselines/w3-002-v1.json with SHA-256 4bbc8f24af911ba09356196e9285d261549926c713110f9549929e1e4ac9086f.
The W3-004 drill detected the controlled N+1 invalid-citation regression, atomically restored known-good N, passed restored absolute and baseline-comparison gates, archived four byte-identical files externally for 180 days and verified zero repository-local drill residue.
W3-12 was final-approved by Gyan Prakash Rai at 2026-08-27 22:35:21 SGT (UTC+08:00).
Live Bedrock/model evaluation, external judge evaluation, production performance, deployment and cloud lifecycle remain NOT RUN.
W3-13 dependency gate
The tracker records W4-01 as depending on W3-13 and records the canonical W3-13 evidence path as docs/learning/W3-learning-review.md. The latest tracker still shows W3-13 as Not Started, while the owner has separately completed a Week 3 teach-back in the W3 sign-off record.
Gate 1 must inspect the current canonical W3-13 evidence and status. It must not silently treat W3-12 approval or another learning document as the tracker-defined W3-13 artifact. If the owner-approved W3-13 record is absent or inconsistent, Column L is blocked until the owner reconciles the exact dependency without changing the original plan.
PROTECTED WEEK 3 CONTRACTS
W4-001 must consume, not duplicate or weaken, the current approved contracts.
RAG boundary
Revalidate the current implementation of the approved public shape:
async def answer(
    self,
    auth_context: AuthContext,
    query: Query | str,
    *,
    content_type: str = "text/plain",
) -&gt; RAGResult:
    ...
Existing Query callers remain compatible.
Raw str input is validated at the RAG boundary.
Authorization-aware retrieval and citation validation remain inside the approved service flow.
Routes must not reproduce retrieval, prompt construction, provider selection, citation validation, evaluation or rollback logic.
Guardrail boundary
Logical RAG input content type is text/plain.
Maximum query length is 10,000 Unicode characters.
Empty, malformed, oversized or invalid logical content raises the safe code guardrail_input_invalid before retrieval/provider use.
Prompt-injection text remains untrusted data; do not add lexical or regex blocking.
No user, retrieved or provider instruction may execute a tool under W4-001.
Unsafe or invalid output is suppressed without exposing input, evidence, prompt or provider response.
W3-003 added no runtime logging. Preserve that contract; W4-003 owns later telemetry and redacted audit work.
Evaluation and rollback authority
Do not modify the W3 golden dataset, evaluation thresholds, metrics, baseline, historical candidate/repeat reports, configuration identities or rollback evidence.
API tests may use the approved deterministic fakes and service contracts, but may not relabel historical evaluation results.
W3-004 is a RAG-configuration rollback, not a release/image rollback. W4 release rollback remains owned by W4-ROLLBACK-001.
W4-001 FUNCTIONAL BOUNDARY
Gate 1 must inspect existing routes and propose the smallest compatible boundary for:
GET /health
Preserve the existing Week 1 contract unchanged unless a separate breaking-change decision is supplied.
Determine whether it remains the compatibility health route or delegates to the new liveness behavior.
GET /health/live
Report only whether the local application process/event loop can serve requests.
Do not call retrieval, model, vector store, network, cloud or agent dependencies.
Use a stable typed response and server-generated request ID if the approved health schema includes one.
GET /health/ready
Check only the exact dependencies required for the enabled W4-001 query capability.
Use short bounded timeouts and fail closed with a stable redacted status.
Do not turn readiness into a live Qdrant, OpenSearch, Bedrock or cloud test unless separately approved.
Gate 1 must identify the exact readiness interface, fake behavior, timeout and degraded-state mapping.
POST /v1/query
Accept a strict typed transport request containing the query and only owner-approved metadata.
The authentication dependency constructs the trusted existing AuthContext; tenant, clearance, ACL, roles, groups or identity must not be accepted as authoritative request-body fields.
Delegate exactly once to the approved RAG service.
Return the normalized approved outcome, request ID, answer or safe abstention/error, exact valid citations, and approved model/retriever version/usage fields only when present in the existing result contract.
Do not return raw evidence, prompts, system instructions, chain-of-thought, provider envelopes, stack traces or internal objects.
Preserve ANSWERED, ABSTAINED and safe error semantics; do not invent new abstention reasons or reinterpret guardrail/provider errors.
POST /v1/agent
The route may exist only as a disabled, stable, testable boundary until W4-002 is separately approved.
It must invoke no graph, tool, retriever, provider, approval store or mutable action.
Gate 1 must recommend the exact disabled response/status and schema without implementing agent state or duplicating future W4-002 contracts.
HTTP TRANSPORT VERSUS LOGICAL CONTENT TYPE
Do not conflate these layers:
The HTTP request may use application/json for a strict Pydantic QueryRequest transport schema.
The query value passed into the approved RAG boundary remains logical text/plain unless another logical content type is separately approved.
Do not add a client-controlled RAG content_type field merely because the HTTP request has a Content-Type header.
Reject unsupported HTTP media types before authentication-dependent retrieval/provider work, using a stable API error mapping without changing the W3 guardrail taxonomy.
Gate 1 must verify whether the current framework/body parser can enforce an exact byte limit before full parsing. The existing 10,000-character logical limit is approved; no new HTTP byte limit is approved yet.
AUTHENTICATION AND AUTHORIZATION BOUNDARY
The API must use dependency injection. Gate 1 must inspect the existing AuthContext model and all producers/consumers, then recommend the exact local interface.
Required invariants:
No request-body identity or authorization claim is trusted.
Missing, malformed or unauthorized identity fails before retriever, RAG provider, agent route or tool invocation.
Ordinary tests use a deterministic injected fake dependency.
The production-shaped default must fail closed when no trusted authenticator is configured.
Do not add a real IdP, JWT/JWKS download, API key, session store or network call under W4-001.
Do not trust X-Forwarded-* or client-supplied request IDs unless an explicitly configured trusted-proxy boundary is approved.
Tenant, clearance and ACL semantics must remain those of the existing authorization contract.
Gate 1 must propose the exact mapping for missing authentication, invalid authentication and authenticated-but-forbidden access without assuming 401 versus 403 behavior.
REQUEST ID, ERROR AND RESPONSE CONTRACTS
Gate 1 must inspect existing JSON/error utilities and propose one normalized API envelope or prove why separate route schemas are required.
The approved design must ensure:
a syntactically valid server-generated request/correlation ID for every response, including errors;
no default framework validation body leaks unexpected request content or internals;
stable error code, safe message and retryability/status only where approved;
explicit mapping from every existing RAG, guardrail, authorization, provider, timeout, cancellation and validation outcome;
citations remain exact typed objects from supplied authorized evidence;
model/retriever/configuration versions are returned only from trusted normalized results, never client input;
no chain-of-thought field exists;
unknown fields are rejected where the repository's strict-schema convention requires it.
BOUNDED TIME, CONCURRENCY AND SHUTDOWN
No exact W4-001 runtime numbers are approved by this prompt. Gate 1 must inspect current settings/configuration patterns and request one owner decision for:
request deadline;
readiness timeout;
maximum in-flight query requests;
queue capacity, preferably zero or explicitly bounded;
overload response/status and retry guidance;
cancellation propagation to the RAG call;
shutdown behavior and acquisition cleanup;
local W4-10 warm-up count, measured request count, concurrency levels and maximum test duration.
The implementation must use bounded async coordination, release capacity in finally, propagate cancellation, create no work after cancellation and leave no background task, process, socket, cache or report residue after tests.
Retries remain owned by existing service/provider contracts. The API must not add multiplicative retries.
TELEMETRY OWNERSHIP — DO NOT MOVE W4-003 INTO W4-001
W4-003 owns OpenTelemetry-compatible tracing, metrics, structured runtime logging and redacted audit trails for tracker steps W3-09 and W4-08.
Therefore W4-001 must:
return a request ID in normalized responses;
provide clean dependency seams that W4-003 can instrument later;
preserve empty/no-content runtime logging required by W3-003 tests;
avoid adding exporters, spans, metrics, audit sinks or positive runtime logs;
avoid adding OTEL dependencies, environment variables or network behavior.
If the current repository already contains approved telemetry hooks, Gate 1 must report them and classify them as consumed unchanged or request a separate ownership decision. Do not duplicate them.
W4-10 BOUNDED LOCAL PERFORMANCE EVIDENCE
W4-10 is a local smoke/load proof, not a production SLO, capacity test or EKS result.
When its dependencies are satisfied and the owner separately authorizes execution:
use only deterministic fake/local providers;
start only a loopback local test boundary or use an in-process ASGI client as specifically approved;
use bounded requests, duration, concurrency and memory;
record p50 if useful, but p95 and p99 are mandatory;
record request count, concurrency, success/error/overload counts and runtime duration;
use a monotonic clock and an exact percentile method approved in configuration/test code;
redact request content, answer content, citations, prompts, auth values and internal exceptions;
make the report atomically no-overwrite or keep it test-temporary until Column M, according to the approved evidence lifecycle;
clean all local service/process/cache/temp state and verify zero unexpected residue.
The result is informational local baseline evidence unless the owner approves an exact hard threshold. It must not claim production latency, capacity or cost.
FOUR-GATE WORKFLOW
Gate 1 — Main Prompt read-only review
Produce complete impact analysis and consolidated decisions only. No mutation or execution.
Gate 2 — Column L exact Code Edit Approval
Valid only after the owner resolves all edit-blocking decisions and supplies a final repository SHA/status and exact path manifest. Column L must enumerate every CREATE, UPDATE and DELETE path plus verified unchanged consumers. No wildcard or directory-only path is valid. Immediately before editing, Codex re-reads all approved paths and patch contexts. Drift blocks editing.
Column L authorizes code/configuration/automated-test writing only. It does not authorize testing, service startup, load generation, documentation, evidence creation, Git mutation, deployment, rollback, teardown, cloud/network/model activity or Excel changes.
Owner TEST-001 execution
After approved edits, Codex derives exact commands from the current repository and gives one command at a time with purpose, expected result, access/network/privacy/cost risk, evidence and stop condition. The owner executes and returns complete output. On FAIL or INDETERMINATE, stop; perform read-only complete root-cause and producer-consumer review; request one consolidated remediation approval. Never self-remediate.
Gate 3 — Column M documentation approval
Only after owner-supplied results and an exact documentation manifest. Codex records factual PASS, FAIL, NOT RUN and INDETERMINATE evidence, warnings, limitations, access/network/provider activity, cost, rollback, teardown and residual resources. It does not rewrite historical outcomes.
The tracker currently proposes:
CREATE docs/test-evidence/W4-001.md
CREATE docs/test-evidence/W4-01-api.txt
CREATE docs/test-evidence/W4-02-auth.txt
CREATE docs/test-evidence/W4-10-load.json
UPDATE docs/test-evidence/README.md
However, the Test Evidence sheet separately names docs/test-evidence/W4-api.txt. Gate 1 must report this path conflict. Do not add, create, delete, rename or alias that file until the owner approves one exact reconciled Column M manifest.
Gate 4 — Column N final approval
Valid only after owner review of approved code, owner-executed tests, complete evidence, warnings, deferred work, rollback/teardown, residual resources and the complete Column M manifest. Every Column M document must receive the applicable owner-supplied final facts. Codex does not edit the tracker; after closure, instruct the owner to update it.
GATE 1 — MANDATORY RESPONSE SECTIONS
1. Business outcome and measurable acceptance
Explain beneficiary, architecture position, included/excluded scope, functional acceptance, security, privacy/residency, reliability, performance, cost and operational acceptance. Identify blocking prerequisites, safe deferrals and downstream effects.
2. Governing baseline and prerequisite reconciliation
Report current repository HEAD/status, current Python/tool versions when available without executing them, governing ADRs/feature records, existing implementation/tests/configuration/dependencies/schemas/evidence, exact W3 baseline identity and protected artifacts. Reconcile W3-12 and W3-13 facts without editing. Do not treat Excel process/lock state as a blocker.
3. Existing API and compatibility inventory
Inspect the application factory, existing /health, route registration, settings, JSON/error utilities, request/response models, test clients and dependency overrides. State exactly what must remain backward-compatible.
4. Producer-consumer impact matrix
For every proposed or changed interface, function, class, schema, field, error code, setting, path, command and dependency, list producer/definition; imports/callers/constructors; validators; serializers; fixtures; unit/contract/integration/feature/security/rollback/teardown consumers; CLI/build/deployment and documentation consumers; required change or reason unchanged. Search exact repository paths; never infer a filename.
5. Function and connection map
Map application creation, route registration, dependency injection, auth creation, validation, RAG delegation, result normalization, error mapping, request IDs, timeouts, capacity acquisition/release, cancellation and shutdown. Enumerate every network/service edge and prove when none occurs.
6. Exact proposed change boundary
Provide repository-relative manifests under CREATE, UPDATE, DELETE, VERIFIED UNCHANGED CONSUMERS, DEFERRED and EXCLUDED. Name exact symbols/sections and rationale. Do not include Column M documents in Column L.
7. Schema and error-mapping analysis
Show exact proposed request/response/error/health schemas, strictness, serialization rules and mappings to existing RAG/guardrail/auth/provider outcomes. Test missing, empty, malformed, oversized, unknown, duplicated, unauthorized and incompatible input. Do not expose internal content.
8. Dependency and runtime API analysis
Inspect pyproject.toml, requirements files, FastAPI/Pydantic/httpx/Starlette APIs and repository tool configuration. Prefer existing approved dependencies. Any version/dependency change requires explicit owner approval and a complete consumer/supply-chain impact review.
9. Concurrency, cancellation, readiness and shutdown analysis
Trace async boundaries, capacity controls, deadlines, cancellation races, partial failures, readiness timeouts, idempotency and cleanup. Provide exact recommended values and alternatives, but label them proposed until approved.
10. Complete automated-test design
List exact paths and positive/negative cases for unit, contract, integration, feature, security, rollback, teardown and cleanliness coverage. Include existing /health compatibility, liveness/readiness difference, strict schema, auth short-circuit, request ID, logical/HTTP content types, size, deadline, overload, cancellation, provider errors, disabled agent route, no content/log leakage and zero residue. Distinguish fakes from opt-in real integrations.
11. Owner Execution Guide — planned, not executed
Plan exact final command order from repository configuration: prerequisite/version check; scoped Ruff; strict MyPy; focused API/consumer tests; full ordinary suite; platform validation; bounded W4-10 test only when dependencies are approved; rollback/disable verification; cleanup and zero-residue verification. For each give purpose, expected output, evidence, risk/cost/privacy/access and stop condition. Do not run commands.
12. Security, privacy, cost and operational impact
Cover trusted identity, tenant isolation, least privilege, HTTP exposure, loopback/default binding, proxy trust, request smuggling/body limits, secrets, PII/content logging, normalized errors, artifact provenance, local CPU/memory/disk/network, paid-service exposure, deployment blast radius, retained resources and residual risks.
13. Consolidated owner decisions
Ask once for every unresolved edit-blocking value. For each give the exact decision, recommendation, alternatives/trade-off, downstream impact and gate blocked. Do not ask again for facts already explicit in current approved records.
REQUIRED OWNER DECISION SET TO CONFIRM OR REVISE AFTER GATE 1
Gate 1 must validate and refine this list from the repository; it must not assume approval:
W3-13 prerequisite: confirm the exact canonical learning evidence and status before Column L.
Existing /health: preserve unchanged and add /health/live plus /health/ready, or approve an exact compatibility mapping.
HTTP query transport: strict application/json request with a query string; logical downstream type remains text/plain; no client-controlled RAG content-type field.
HTTP byte limit: approve an exact value in addition to the existing 10,000-character logical query limit, or explicitly defer byte-limit enforcement with risk.
Authentication producer: injected trusted dependency using the current AuthContext; fake for ordinary tests; fail closed when no real authenticator is configured.
Authentication status mapping: exact missing/invalid/forbidden codes and HTTP statuses.
Request ID: generate server-side; ignore external IDs unless a separately configured trusted proxy is approved.
Readiness: exact local dependencies, timeout and degraded response; no live cloud/vector/model probe.
Query deadline, maximum in-flight requests, queue capacity and overload response.
/v1/agent: disabled response/schema/status; zero graph/tool/retrieval/provider calls until W4-002.
Error envelope: exact safe fields and exception-to-status matrix.
W4-10 dependency handling: code preparation versus full deferral until W4-06; no final PASS before W4-06.
W4-10 local test profile: exact warm-up, request count, concurrency levels, duration, percentile method and report lifecycle.
Evidence-path conflict: choose the exact role or removal of docs/test-evidence/W4-api.txt relative to W4-001.md and W4-01-api.txt.
Feature ownership: exact feature-matrix owner/status/tracker-step order and complete path list after repository inspection.
Documentation scope: confirm the final later Column M manifest only after code and owner results exist.
PROHIBITED SCOPE
Do not implement or activate under W4-001:
LangGraph controller, agent state, approval store, budgets or tools;
OpenTelemetry exporters, spans, metrics, audit sinks or positive runtime logging;
live JWT/JWKS/IdP/API-key integration;
Bedrock, live model, Ragas/judge or paid-provider calls;
Qdrant/OpenSearch/Docker lifecycle or direct vector-store access from routes;
AWS, EKS, Terraform, registry, image build/push, deployment or cloud cleanup;
production load/capacity/SLO claims;
release rollback drill owned by W4-ROLLBACK-001;
changes to W3 golden data, evaluation baseline/reports, RAG/guardrail semantics or rollback identities;
Excel or Git mutation;
paths outside the exact later owner-approved manifests.
WEEKLY LEARNING CONNECTION
The W4-001 closure must later teach the owner how the API boundary connects:
Week 1 application factory, typed settings and test/evidence controls;
Week 2 provider-neutral retrieval, tenant isolation and local fakes;
Week 3 cited RAG, validation, guardrails, evaluation baseline and configuration rollback;
later W4-002 agent control without placing business logic in routes;
later W4-003 telemetry without exposing content;
later W4 release rollback and Week 5 AWS/EKS deployment boundaries.
The learning record must include business summary, technical flow, layman analogy, decisions/trade-offs, security/privacy/cost, failure/recovery, rollback/teardown and interview Q&amp;A. It must not convert NOT RUN work into PASS.
STOP AND STATUS RULES
Return one exact applicable ending:
If the repository, approved evidence, protected baseline or governing contracts drift materially: BLOCKED — BASELINE CHANGED — W4-001.
If the tracker-defined W3-13 dependency is not proven or reconciled: BLOCKED — W3-13 PREREQUISITE NOT PROVEN — W4-001.
If a required owner decision prevents an exact manifest: BLOCKED — OWNER DECISION REQUIRED — W4-001.
If complete Gate 1 review is finished and all unresolved decisions are presented without any edit: READY FOR PRE-EDIT REVIEW — W4-001.
INITIAL EXECUTION INSTRUCTION
Perform Gate 1 only. Do not edit or execute anything. End with the exact applicable status above.</t>
  </si>
  <si>
    <t>READY FOR PRE-EDIT REVIEW — W4-001</t>
  </si>
  <si>
    <t>W4-01, W4-02, W4-10</t>
  </si>
  <si>
    <t>FINAL W4-001 COLUMN L CODE EDIT APPROVAL
OWNER AUTHORIZATION
This prompt is the complete bounded Code Edit Approval for W4-001.
It authorizes Codex to create or update only the exact code, configuration and automated-test paths listed below. It does not authorize command execution, testing, documentation, evidence writing, service startup, load generation, deployment, rollback execution, teardown execution, Git mutation or Excel editing.
APPROVED BASELINE
Repository root: E:\AI\enterprise_ai_platform
Repository HEAD: 382f2ddd940651669a3318cc5fe323051332ba5d
Branch: main, aligned with origin/main
Tracked working tree: clean at final pre-edit verification
W3-13 canonical record: docs/learning/W3-learning-review.md
W3-13 record SHA-256: be120b416291652670ff5d8e196932b08c2ee5080b2f82fb58395837852a87e
W3-13 status: completed and closed; do not reopen its approval
Approved W3-002 baseline: configs/eval/baselines/w3-002-v1.json
Approved W3-002 baseline SHA-256: 4bbc8f24af911ba09356196e9285d261549926c713110f9549929e1e4ac9086f
Approved latest ordinary-suite evidence: 465 passed, 7 skipped, 4 deselected, 10 subtests passed and 1 accepted TestClient warning
Open Excel processes, the tracker ~$ lock file and uncommitted workbook work are non-blocking and are excluded from this approval.
IMMEDIATE PRE-EDIT REVALIDATION
Immediately before the first edit, Codex must re-read, without executing any project command:
Current complete Git HEAD and tracked status.
All 13 CREATE targets and confirm they remain absent.
All 10 UPDATE targets and confirm their approved patch contexts still match.
Every VERIFIED UNCHANGED consumer required to understand the contract.
W3-13 identity/status and the protected W3-002 baseline hash.
Do not treat an open workbook or lock file as drift.
If HEAD, a patch context, a protected contract, source identity or target classification changed materially, do not edit. End:
BLOCKED — BASELINE CHANGED — W4-001.
APPROVED BUSINESS AND ARCHITECTURE CONTRACT
Implement a thin, typed FastAPI boundary over the approved local RAG service.
The boundary must:
preserve the existing /health contract;
add opt-in /health/live, /health/ready, /v1/query and disabled /v1/agent routes;
construct trusted AuthContext only through an injected authenticator;
deny before RAG, retrieval, provider, graph or tool work;
call RAGService.answer(...) exactly once for an admitted query;
preserve the existing RAG, authorization, guardrail, citation, usage and abstention semantics;
return typed responses and server-generated request IDs;
enforce strict transport, raw-body, deadline and zero-queue concurrency limits;
normalize errors without content leakage;
use deterministic fakes for ordinary tests;
remain disabled by default;
introduce no agent behavior, telemetry, live identity, direct vector access, network call, service lifecycle or cloud activity.
APPROVED API CONTRACT
Configuration
Add exact bounded settings consistent with current repository conventions:
api_routes_enabled = false
api_max_request_body_bytes = 131072
api_readiness_timeout_seconds = 1.0
api_max_inflight_queries = 4
api_query_queue_capacity = 0
request_timeout_seconds = existing 30-second setting used as overall query deadline
Settings must have safe defaults, explicit validation and no secret values.
Existing GET /health
Preserve its existing response status and body fields exactly.
Preserve service and environment values exactly.
When W4 routes are enabled, an additive X-Request-ID header is permitted.
Do not remove or rename the route.
GET /health/live
Available only when api_routes_enabled=true.
Confirms only that the application/event loop can answer.
Makes no dependency, RAG, retrieval, provider, vector-store, network or cloud call.
Returns a strict typed result with a server-generated UUIDv4 request ID.
GET /health/ready
Available only when api_routes_enabled=true.
Calls exactly one injected local query-wiring readiness probe.
Uses a one-second timeout.
Never probes Qdrant, OpenSearch, Bedrock, live models, AWS, cloud or network services.
Returns 503 service_not_ready when degraded or timed out.
POST /v1/query
Available only when api_routes_enabled=true.
Accepts HTTP application/json only.
Rejects unsupported media type or content encoding before authentication-dependent RAG work.
Streams and counts the raw body before full parsing.
Rejects a body larger than 131,072 bytes.
Uses strict_json_loads() or an equivalent existing strict contract to reject malformed JSON, duplicate keys and non-finite values.
Rejects invalid UTF-8.
Validates a strict, extra-forbidden request containing only query: str.
Does not accept tenant, subject, roles, groups, clearance, ACL, issuer, audience, expiry, request ID, citation, usage, model version, retriever version or logical content type from the body.
Passes the raw query string to the approved RAG boundary with content_type="text/plain".
Calls the injected RAG service exactly once after authentication and admission.
Preserves the existing 10,000-Unicode-character guardrail and guardrail_input_invalid code.
Adds no lexical or regex injection blocker.
Answered response
Return only trusted normalized fields supported by the existing result:
{
  "request_id": "UUIDv4",
  "outcome": "answered",
  "answer": "trusted normalized answer",
  "citations": [],
  "prompt_version": "trusted version",
  "usage": null
}
Reuse the existing strict Citation and Usage contracts where compatible.
Preserve exact citation identifiers.
Do not invent model or retriever versions absent from RAGResult.
Optional fields follow existing trusted-result presence rules.
Abstention response
Return HTTP 200.
Preserve the exact existing safe abstention reason and prompt version.
Return no fabricated answer or citation.
POST /v1/agent
Available only when api_routes_enabled=true.
Return HTTP 501 with safe code agent_disabled.
Make zero authenticator, RAG, retriever, provider, graph, approval-store or tool calls.
Add no agent state, budget, graph or tool contract.
Request IDs and proxy trust
Generate a UUIDv4 server-side for every W4-enabled response, including errors.
Return it in X-Request-ID.
Include it in all new response/error bodies.
Ignore inbound X-Request-ID, X-Correlation-ID and X-Forwarded-* values.
Add no trusted-proxy, CORS, public-ingress or TLS-termination configuration.
Documentation surface
When W4 routes are enabled:
disable interactive documentation;
disable the OpenAPI endpoint;
disable slash redirects.
Do not broaden the existing default application surface when api_routes_enabled=false.
APPROVED AUTHENTICATION CONTRACT
Create an injected asynchronous interface equivalent to:
async def authenticate(request: Request) -&gt; AuthContext:
    ...
Requirements:
ordinary tests use a deterministic fake;
the default producer fails closed when no authenticator is configured;
the request body cannot create authority;
no JWT, JWKS, IdP, API-key, session-store or network integration is added;
existing AuthContext and authorization semantics remain unchanged.
Approve exact mappings:
Condition
HTTP/result
Authenticator not configured
503 authentication_not_configured
Authentication missing
401 authentication_required
Authentication invalid
401 authentication_invalid
Explicit operation denial
403 authorization_denied
Authenticated caller with no authorized evidence
HTTP 200 existing no_authorized_evidence abstention
Existing vector-store authorization denial
HTTP 403 using existing safe code
APPROVED ERROR CONTRACT
Use one strict normalized envelope:
{
  "request_id": "UUIDv4",
  "error": {
    "code": "stable_safe_code",
    "message": "safe content-free message"
  }
}
retryable is optional and appears only where an existing approved contract or this policy defines it.
Do not duplicate HTTP status in the body.
Do not expose raw exceptions, stack traces, prompt, query, answer, evidence, citation content, provider response, secret, PII, internal path or endpoint.
Implement the approved mapping:
Outcome
HTTP/safe code
Unsupported media type/content encoding
415 api_unsupported_media_type
Raw body too large
413 api_request_too_large
Malformed/duplicate/non-finite/invalid-UTF-8 JSON
400 api_request_malformed
Missing/wrong/unknown transport field
422 api_request_invalid
Empty/oversized logical query
422 guardrail_input_invalid
Authenticator not configured
503 authentication_not_configured
Missing authentication
401 authentication_required
Invalid authentication
401 authentication_invalid
Explicit operation denial
403 authorization_denied
Valid caller/no authorized evidence
HTTP 200 existing abstention
Vector-store authorization denial
HTTP 403 existing safe code
Vector-store timeout
HTTP 504 existing safe code
Vector-store unavailable
HTTP 503 existing safe code
Vector validation/collection mismatch
HTTP 503 existing safe code
Embedding input/length failure
HTTP 422 existing safe code
Other embedding failure
HTTP 503 existing safe code
RAG configuration invalid
503 rag_configuration_invalid
Invalid RAG/provider output
HTTP 502 existing safe RAG/LLM code
LLM authentication/authorization failure
HTTP 503 existing provider-neutral code
LLM timeout
504 llm_timeout
LLM throttled/unavailable
HTTP 503 existing provider-neutral code
Overall API deadline
504 api_query_deadline_exceeded
Admission capacity exhausted
503 api_overloaded, retryable=true, Retry-After: 1
Readiness degraded/timed out
503 service_not_ready
Disabled agent
501 agent_disabled
Unknown route/method
normalized HTTP 404/405
Unhandled exception/response validation failure
500 internal_error
Task cancellation/client disconnect
propagate cancellation; fabricate no response
Preserve existing content-free codes/messages where the repository already defines them. Do not rename shared errors merely to fit the API.
APPROVED CONCURRENCY, DEADLINE AND CLEANUP CONTRACT
Create a per-application capacity limiter.
Maximum admitted queries: four.
Queue capacity: zero.
Acquisition: atomic and non-waiting.
Rejected requests make no RAG call.
Admitted work runs under the existing 30-second overall timeout.
Release capacity in finally for answer, abstention, error, timeout and cancellation.
Re-raise cancellation.
Create no retry or replacement work after cancellation.
Add no API retry; preserve existing lower-layer retry behavior.
Create no background task, process, socket, cache, canonical report or persistent state.
TELEMETRY AND LOGGING BOUNDARY
W4-003 owns positive telemetry, structured runtime logging, spans, metrics, exporters and audit trails.
W4-001 may return request IDs but must:
add no runtime content logging;
preserve the W3-003 empty/no-content logging contract;
add no OTEL dependency, exporter, span, metric or audit sink;
expose clean dependency seams for later W4-003 instrumentation only.
FEATURE OWNERSHIP
Add feature API-001 in the exact repository-approved feature-matrix structure:
status: In Progress;
tracker steps in exact order: W4-01, W4-02, W4-10;
implementation paths: exact approved W4-001 Column L paths in the repository's required ordering and without duplicates.
W4-10 remains linked but deferred. Do not create its load-test path now.
Synchronize the exact matrix and validator consumers without weakening any earlier feature contract.
docs/adr/ADR-007-api-boundary.md is deferred to later documentation approval. The owner decisions embodied in this Column L approval govern the bounded edit.
FINAL COLUMN L MANIFEST
CREATE — exactly 13
src/enterprise_ai_platform/api/__init__.py
src/enterprise_ai_platform/api/dependencies.py
src/enterprise_ai_platform/api/errors.py
src/enterprise_ai_platform/api/models.py
src/enterprise_ai_platform/api/runtime.py
src/enterprise_ai_platform/api/routes.py
tests/fakes/api.py
tests/unit/test_api.py
tests/contract/test_api_schema.py
tests/integration/test_api_dependency_composition.py
tests/security/test_api_authorization.py
tests/rollback/test_w4_001_api_rollback.py
tests/teardown/test_w4_001_api_cleanliness.py
UPDATE — exactly 10
.env.example
feature-matrix.yaml
src/enterprise_ai_platform/app.py
src/enterprise_ai_platform/config.py
tools/platformctl/validate.py
tests/conftest.py
tests/unit/test_config.py
tests/unit/test_platformctl.py
tests/feature/test_feature_matrix.py
tests/security/test_configuration_security.py
DELETE — exactly 0
None
Manifest reconciliation: 13 CREATE + 10 UPDATE = 23 editable paths; 0 DELETE.
REQUIRED TEST-CODE COVERAGE — WRITE ONLY, DO NOT RUN
tests/unit/test_api.py
Cover:
exact legacy /health compatibility;
routes absent/default health-only behavior when disabled;
live and ready behavior;
readiness timeout/degradation;
answered and abstained query responses;
exactly one RAG call;
server-generated request IDs and ignored inbound IDs;
media type, encoding, raw body, strict JSON and schema validation;
preservation of logical text/plain;
deadline and overload behavior;
cancellation and capacity release;
disabled agent zero-call assertions;
normalized safe error mappings;
no prompt/evidence/exception leakage.
tests/contract/test_api_schema.py
Cover exact fields, literals, strictness, extra rejection, UUID serialization, citation/usage reuse and absence of prompt, evidence, chain-of-thought, internal endpoint, model version and retriever version fields not present in trusted results.
tests/integration/test_api_dependency_composition.py
Compose the injected fake authenticator with the concrete approved RAG service using deterministic fake retrieval/provider dependencies. No external client or service.
tests/security/test_api_authorization.py
Cover missing, invalid, forbidden and expired authentication; body-supplied authority; request-ID/proxy spoofing; prompt-injection-as-data; log/error redaction; and deny-before-RAG/retrieval/provider/tool assertions.
tests/rollback/test_w4_001_api_rollback.py
Prove api_routes_enabled=false restores the exact existing health-only route surface without modifying W3 configuration rollback identities.
tests/teardown/test_w4_001_api_cleanliness.py
Prove no report, evidence, cache, task, socket, process, temporary file or other W4-001 residue remains.
Update the existing configuration, platform and feature-matrix tests only as required by the approved contract. Preserve all earlier assertions.
VERIFIED UNCHANGED CONSUMERS
Inspect and preserve without modification:
pyproject.toml
requirements.txt
requirements-dev.txt
Makefile
src/enterprise_ai_platform/json_contracts.py
src/enterprise_ai_platform/guardrails/errors.py
src/enterprise_ai_platform/guardrails/policy.py
src/enterprise_ai_platform/retrieval/authorization.py
src/enterprise_ai_platform/retrieval/errors.py
src/enterprise_ai_platform/retrieval/models.py
src/enterprise_ai_platform/retrieval/service.py
src/enterprise_ai_platform/retrieval/vector_store.py
src/enterprise_ai_platform/embeddings/errors.py
src/enterprise_ai_platform/llm/errors.py
src/enterprise_ai_platform/llm/models.py
src/enterprise_ai_platform/llm/provider.py
src/enterprise_ai_platform/llm/fake.py
src/enterprise_ai_platform/llm/bedrock.py
src/enterprise_ai_platform/rag/errors.py
src/enterprise_ai_platform/rag/models.py
src/enterprise_ai_platform/rag/service.py
src/enterprise_ai_platform/evaluation/evaluator.py
src/enterprise_ai_platform/evaluation/fixtures.py
tests/unit/test_app.py
tests/feature/test_health_contract.py
tests/integration/test_dependency_contract.py
tests/integration/test_repository_layout.py
tests/unit/test_rag_pipeline.py
tests/contract/test_guardrail_contract.py
tests/contract/test_rag_result.py
tests/security/test_w3_001_cited_rag_security.py
tests/security/test_w3_003_guardrails_security.py
configs/eval/baselines/w3-002-v1.json
configs/eval/golden.jsonl
configs/eval/w3-002.yaml
configs/rag.yaml
configs/rag/versions/w3-002-v1.json
configs/rag/versions/w3-004-synthetic-regression-v1.json
If implementation proves that any listed consumer must change, stop and request a bounded manifest expansion. Do not change it silently.
DEFERRED — NOT AUTHORIZED
tests/feature/test_api_load_smoke.py
docs/test-evidence/W4-001.md
docs/test-evidence/W4-01-api.txt
docs/test-evidence/W4-02-auth.txt
docs/test-evidence/W4-10-load.json
docs/test-evidence/README.md
docs/test-evidence/W4-api.txt
docs/adr/ADR-007-api-boundary.md
docs/learning/W4-learning-review.md
W4-10 code, execution and evidence remain NOT RUN until W4-06 approval.
No Column M documentation is authorized.
Do not create docs/test-evidence/W4-api.txt later unless a new owner decision changes the approved evidence-path reconciliation.
EXCLUDED
Agent graph, state, budgets, approval store and tools.
W4-003 telemetry, logging, spans, metrics, exporters and audit sinks.
Live authentication, JWT, JWKS, IdP, API keys and sessions.
Live Bedrock/model/judge/paid-provider activity.
Direct Qdrant, OpenSearch, vector-store, embedder or ingestion access from routes.
Docker, service startup, network exposure, AWS, EKS, Terraform and registries.
Image build/push, deployment and production performance/SLO claims.
W4 release rollback drill.
W3 dataset, thresholds, baseline, reports, RAG semantics, guardrails and rollback identities.
Documentation, evidence, tracker and Excel changes.
Git staging, commit, push, reset or checkout.
Any path outside the exact 23-path editable manifest.
DEPENDENCY AND SUPPLY-CHAIN BOUNDARY
Add no dependency.
Change no dependency range or lock.
Use the current FastAPI, Starlette, Pydantic and HTTPX APIs supported by the repository's approved ranges.
Retain the accepted TestClient deprecation warning; do not remediate it under W4-001.
Add no package installation or download instruction to the code edit.
NO EXECUTION
Codex must not run:
Python imports or version commands;
Ruff, MyPy, Pytest or platform validation;
a formatter, build or pre-commit hook;
the FastAPI service or any client/load request;
Docker, model, registry, AWS, EKS or Terraform commands;
rollback, teardown or cleanup commands;
Git or Excel mutations.
The owner will execute later commands one at a time under the approved owner-testing workflow.
FAILURE AND PATCH-CONTEXT RULE
If an approved patch context no longer matches:
Stop editing that path.
Do not guess an anchor or reconstruct the file from memory.
Do not create a shadow path or weaken a test.
Preserve any already completed in-scope changes.
Report the exact drift and request a bounded remediation or manifest-expansion approval.
REQUIRED COMPLETION RESPONSE
After completing code writing, return:
Business summary in simple terms.
Exact CREATE/UPDATE/DELETE manifest and counts.
Brief description of each implemented API/security/runtime contract.
Confirmation that VERIFIED UNCHANGED paths were not modified.
Confirmation that W4-10 and all documentation remained deferred.
Confirmation that no tests, commands, service, network, cloud, Git or Excel operation was run.
Any warnings, limitations or decisions discovered without inventing PASS.
Owner-testing plan in order, but do not issue the first command until the owner asks to begin testing.
End exactly:
READY FOR OWNER TESTING — W4-001.
FINAL AUTHORIZATION
I approve this exact W4-001 Column L Code Edit Approval.
Codex may now write only the 23 approved paths and only the contracts described above. No other authority is granted.</t>
  </si>
  <si>
    <t># COLUMN M — EXACT DOCUMENT WRITING APPROVAL — W4-001
## 1. Authorization
This is the owner’s separate Column M approval following completion of the bounded W4-001 implementation and owner-executed testing.
Codex is authorized to perform read-only documentation preflight and then create or update only the documents listed in this prompt.
This approval does not authorize:
* Application, configuration, test, schema or infrastructure changes.
* Test, evaluation, formatter, linter or build execution.
* Service startup or API invocation.
* Network, model, provider, Docker, AWS or cloud activity.
* Deployment or operational rollback.
* Git staging, committing, pushing, tagging or branch mutation.
* Excel tracker modification.
* Creation of W4-10 load-test code or evidence.
An open Excel process, an Excel `~$` lock file or an uncommitted workbook is non-blocking and outside this Column M boundary.
## 2. Exact documentation boundary
### CREATE — exactly 3
```text
docs/test-evidence/W4-001.md
docs/test-evidence/W4-01-api.txt
docs/test-evidence/W4-02-auth.txt
```
### UPDATE — exactly 1
```text
docs/test-evidence/README.md
```
### VERIFIED UNCHANGED
None within the documentation-writing manifest.
Application code, configuration, tests and existing evidence may be inspected read-only as authoritative sources, but they must not be modified.
### DELETE
None.
### EXCLUDED FROM WRITING
Every repository path not listed under CREATE or UPDATE, including:
* `docs/test-evidence/W4-10-load.json`
* Application source code.
* Configuration and schemas.
* Automated tests and test fixtures.
* IaC and deployment files.
* Existing evaluation and rollback artifacts.
* ADRs and learning records.
* Excel workbooks and tracker fields.
* Git metadata.
Manifest reconciliation:
```text
3 CREATE
1 UPDATE
0 DELETE
4 writable documents
```
## 3. W4-10 treatment
W4-10 load testing was explicitly deferred and was not implemented or executed.
Therefore:
* Do not create `docs/test-evidence/W4-10-load.json`.
* Do not invent a load-test result.
* Do not represent W4-10 as PASS or FAIL.
* Record it as `NOT RUN — deferred until W4-06` in:
  * `docs/test-evidence/W4-001.md`
  * `docs/test-evidence/README.md`
* Preserve that production performance and capacity remain unproven.
## 4. Permitted preflight
Before writing, Codex may use read-only filesystem and Git inspection to confirm:
* Each CREATE target is absent.
* Each UPDATE target exists.
* Current content and document structure.
* The owner-supplied W4-001 results.
* The final bounded implementation manifest.
* Relevant implementation and test evidence.
* No requested statement conflicts with repository evidence.
Read-only inspection commands are permitted solely for these checks.
Do not execute:
* Pytest.
* Ruff.
* MyPy.
* Platform validation.
* Application or service commands.
* Load or performance tests.
* Deployment or rollback commands.
* Network or provider operations.
* Commands that modify Git or repository content outside the approved documents.
If a CREATE path already exists, an UPDATE path is absent, owner facts conflict with repository evidence, or documentation cannot be written without changing another path, stop without editing and report:
```text
BLOCKED — DOCUMENT BOUNDARY CHANGED — W4-001.
```
## 5. Exact owner-supplied implementation and test facts
Record the following facts exactly without reinterpretation.
### Final result
```text
W4-001 TEST-001: PASS WITH ACCEPTED WARNINGS
```
### Successful verification
```text
Post-remediation Ruff: PASS
Strict MyPy: PASS — 84 source files
Focused W4 suite: PASS — 108 tests
Protected regressions: PASS — 69 tests
Complete ordinary suite: PASS — 537 tests
Platform validation: PASS
Rollback and cleanliness: PASS — 3 tests
Repository residue: ZERO
Patch integrity: PASS WITH ACCEPTED WARNINGS
```
### NOT RUN results
```text
Skipped tests: 7 — NOT RUN
Deselected tests: 4 — NOT RUN
W4-10 load testing: NOT RUN
Live authentication validation: NOT RUN
Live provider/model validation: NOT RUN
Production performance and capacity validation: NOT RUN
Service startup and deployment validation: NOT RUN
Operational or release rollback: NOT RUN
Cloud lifecycle activity: NOT RUN
```
### INDETERMINATE
```text
Open INDETERMINATE results: none
```
### Historical failures
Preserve these as historical failures that were remediated and subsequently passed:
```text
Initial MyPy: 2 failures — remediated; final strict MyPy PASS
Initial focused suite: 2 failures — remediated; final focused suite PASS
Initial complete suite: 2 stale-consumer failures — remediated; final complete suite PASS
```
Do not erase these failures, classify them as current failures or imply that the first executions passed.
### Accepted warnings
```text
One Starlette/FastAPI TestClient deprecation warning
Git LF-to-CRLF working-copy notices
```
Patch integrity otherwise passed:
* No whitespace error was reported.
* No conflict marker was reported.
### Final implementation manifest
```text
13 CREATE
12 UPDATE
0 DELETE
25 edited implementation paths
```
The two additional UPDATE paths are the owner-directed W2 consumer reconciliations. Obtain their exact paths from the approved implementation diff or remediation record. Do not guess their identities.
### Security, privacy, cost and activity
```text
Network activity: none
Live provider/model activity: none
Docker activity: none
AWS/cloud activity: none
Deployment activity: none
Estimated provider/cloud cost: USD 0
Repository residue: zero
Open INDETERMINATE activity: none
```
No prompt, retrieved evidence, credentials, PII, tenant data, provider response, stack trace or other sensitive content may be copied into the documentation.
### Rollback and teardown interpretation
Record the distinction exactly:
* Deterministic configuration rollback and rollback-disable behavior: PASS.
* Automated cleanliness and residue checks: PASS.
* Unexpected repository residue: zero.
* Operational release rollback: NOT RUN.
* Deployment rollback: NOT RUN.
* Infrastructure or cloud rollback: NOT RUN.
* No service, container, network connection, cloud resource or deployment was created.
* Approved implementation files remain as intended repository resources.
## 6. Document-specific requirements
### `docs/test-evidence/W4-001.md`
Create the aggregate W4-001 implementation and test-evidence record.
It must include:
* Business purpose of the HTTP API boundary.
* Implemented W4-01 and W4-02 scope.
* Default-off API-route behavior.
* Health, query, disabled-agent, authentication, authorization, request-ID, timeout, overload and cancellation boundaries.
* Deterministic local fake-only testing scope.
* Final 13 CREATE, 12 UPDATE, 0 DELETE implementation manifest.
* Exact final PASS results.
* Historical failures and their remediation.
* Accepted warnings.
* PASS, FAIL, NOT RUN and INDETERMINATE classifications.
* W4-10 deferral.
* Security and privacy results.
* Network/provider/cloud activity and cost.
* Deployment, rollback, teardown and residue facts.
* Evidence gaps and limitations.
* A clearly labelled pending Column N section:
```text
## Final Owner Approval
```
Do not claim final owner documentation approval in Column M.
### `docs/test-evidence/W4-01-api.txt`
Create the focused W4-01 API evidence record.
It must document:
* Legacy `/health` compatibility.
* Enabled `/health/live` and `/health/ready` behavior.
* Strict `/v1/query` transport and response boundary.
* Disabled `/v1/agent` behavior.
* Request-body, media-type, JSON and schema validation.
* Server-generated request IDs.
* Timeout, overload, cancellation and capacity-release behavior.
* Safe error normalization.
* Default-off rollback behavior.
* Relevant owner-executed test results.
* Accepted warnings and limitations.
* W4-10 as NOT RUN.
* No live service, network, provider or performance claim.
* Pending Column N section:
```text
FINAL OWNER APPROVAL
```
### `docs/test-evidence/W4-02-auth.txt`
Create the focused W4-02 authentication and authorization evidence record.
It must document:
* Injected authentication interface.
* Fail-closed behavior when authentication is unconfigured.
* Missing, invalid and explicitly forbidden authentication handling.
* Denial before RAG, retrieval, provider or tool work.
* Request bodies cannot create or override trusted identity.
* Inbound request IDs and proxy headers are not trusted.
* Existing tenant, clearance, role, group and ACL enforcement remains downstream.
* No prompt, evidence, credential, PII, tenant data or raw exception exposure.
* Fake-only deterministic authentication testing.
* Live identity provider, JWT, JWKS, API key and session integration as NOT RUN.
* Relevant PASS results, historical failures, warnings and limitations.
* Pending Column N section:
```text
FINAL OWNER APPROVAL
```
### `docs/test-evidence/README.md`
Update the evidence index without rewriting unrelated historical evidence.
The update must:
* Add W4-001 to the evidence index.
* Link W4-01 API evidence.
* Link W4-02 authentication evidence.
* Record `TEST-001 — PASS WITH ACCEPTED WARNINGS`.
* Record 537 passed, 7 skipped and 4 deselected.
* Record W4-10 as NOT RUN and deferred until W4-06.
* State that no `W4-10-load.json` evidence exists.
* Preserve the distinction between deterministic configuration rollback PASS and operational/deployment rollback NOT RUN.
* Preserve production-readiness limitations.
* Add a pending Column N section:
```text
## Final Owner Approval — W4-001
```
Do not alter or reinterpret previous weeks’ approved evidence.
## 7. Documentation quality rules
All four documents must:
* Use business-first, plain language.
* Distinguish current PASS results from historical remediated failures.
* Preserve `PASS`, `FAIL`, `NOT RUN` and `INDETERMINATE` exactly.
* Never convert skipped or deselected tests into PASS.
* Never convert deferred work into PASS.
* Never infer production readiness.
* Never claim live authentication, provider, model, network, deployment or performance validation.
* Never expose sensitive or raw runtime content.
* Reconcile the same implementation counts and test totals.
* Identify warnings and accepted limitations consistently.
* Contain a pending Final Owner Approval section for Column N.
## 8. Mandatory Column M response
After writing and read-only verification, return:
```text
COLUMN M APPROVED DOCUMENT MANIFEST — W4-001
```
Provide exactly one row for each of the four documents, containing:
| Required field                                 |
| ---------------------------------------------- |
| Exact repository path                          |
| CREATE or UPDATE classification                |
| Business purpose                               |
| Owner-supplied implementation and test results |
| Historical failures                            |
| Accepted warnings and risks                    |
| Evidence gaps and limitations                  |
| Network, provider and cost facts               |
| Deployment status                              |
| Rollback status                                |
| Teardown and residual-resource status          |
| Fields pending Column N                        |
| Final Owner Approval section location          |
| Column N closure requirement                   |
The response must reconcile:
```text
3 CREATE
1 UPDATE
0 DELETE
4 documents requiring Column N closure
```
Also list any repository evidence inspected read-only, without adding those paths to the writable documentation manifest.
## 9. Column N boundary
Column M does not authorize Codex to complete final owner approval fields.
The four-document Column M manifest becomes the complete mandatory Column N closure scope.
Column N must later update every one of these documents with owner-supplied:
* Reviewer’s exact name.
* Reviewer’s role.
* Exact approval decision.
* Approval date and time.
* Timezone.
* Accepted warnings, risks and limitations.
* PASS, historical FAIL, NOT RUN and INDETERMINATE facts.
* Evidence gaps.
* Deferred actions and responsible owners.
* Deployment facts.
* Rollback facts.
* Teardown facts.
* Residual-resource facts.
* Approval conditions, or `None`.
* W4-10 and W4-06 handover status.
If any document is omitted or any result conflicts with the owner’s decision, Column N must block.
Do not edit the Excel tracker. After successful Column N closure, instruct the owner to update the tracker separately.
End exactly:
```text
DOCUMENTATION READY FOR OWNER REVIEW — W4-001.
```</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</si>
  <si>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</si>
  <si>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FOUR APPROVAL GATES PLUS OWNER TESTING AND WEEKLY LEARNING — TRACKER v1.3.5
MAIN PROMPT — W4-002
TASK IDENTITY
Week: Week 4
Feature/outcome: Bounded LangGraph agent controller
Business purpose: Add controlled agent behavior without uncontrolled autonomy.
Covered tracker steps: W4-03, W4-04, W4-05, W4-06, W4-07, W4-09
Required upstream inputs: final-approved W4-001 API/authentication boundary; approved Week 1–3 contracts; exact step/tool/token/time/retry/state/concurrency budgets; APP-001, COST-001 and RET-001 owner decisions
Expected outputs: approved bounded code/configuration/test-code changes; owner execution/remediation/rollback/teardown guide; later evidence and business/technical/layman/interview documentation
Task type: implementation
First permitted activity: Gate 1 read-only impact review
Next possible approval after Gate 1: a separate exact bounded Column L Code Edit Approval supplied by the owner
BUSINESS OUTCOME
Implement a controlled agent workflow behind the approved Week 4 API boundary. The agent must follow an explicit graph, use only allowlisted tools, stop within approved budgets and require durable human approval before even a mocked consequential action.
The implementation must prove that:
the agent is a bounded workflow rather than an autonomous black box;
trusted authentication and authorization are enforced before retrieval or tool activity;
every graph path ends in an explicit safe terminal outcome;
malformed, hostile, duplicate, replayed, expired, rejected, timed-out or over-budget activity fails closed;
read-only and write permissions remain separate;
no write action is executed solely because a model proposed it;
persisted state contains only approved redacted identifiers, decisions and outcomes;
loops, retries, tool calls, tokens, elapsed time, state size and concurrency remain bounded;
ordinary development and owner testing remain deterministic, local, fake-only and network-free;
disabling the agent restores the approved W4-001 behavior without affecting /v1/query.
This task does not implement a real operational write tool, production identity provider, external approval service, live model, live vector service, telemetry exporter, production load test, deployment, Docker lifecycle, AWS resource or cloud mutation.
OWNER-CONTROLLED FIRST RESPONSE — GATE 1 ONLY
When this Main Prompt is first invoked:
Inspect the current repository, repaired TRACKER v1.3.5, approved decisions and evidence read-only.
Do not create, edit, delete, move, install, download, execute tests, lint, format, build, start a service, invoke an endpoint, deploy, remediate, roll back, tear down, contact a registry/cloud/model service, mutate Git or edit Excel.
Do not assume that any path, symbol, dependency, schema, test count, Git SHA or patch context still matches an earlier conversation.
Re-read every proposed path and every direct and indirect producer/consumer before recommending Column L.
Do not write Column L, code, tests, reports, documentation, evidence or tracker updates during Gate 1.
Return the complete read-only impact analysis, all exact blocking decisions and one reconciled proposed manifest.
An open Excel process, an Excel ~$ lock file or an uncommitted workbook is non-blocking and is not an owner-decision field for Column L. The owner controls tracker saving and Git mutation.
SOURCE PRECEDENCE AND NO SILENT RECONCILIATION
Apply the approved ADR-000 precedence:
Enterprise AI Architecture Source of Truth v1.1.
Approved ADRs and owner decision records.
Coaching Blueprint and approved learning records.
Owner-approved TRACKER v1.3.5 for task scope, ownership, sequencing and evidence paths.
Approved feature requirements and configurations.
Current implementation and tests as evidence of what exists.
Distinguish governing scope, approved owner facts, current implementation, historical results, proposals, unknown values and deferred work. If sources conflict, report the exact conflict without inventing a reconciliation or reopening a closed approval unnecessarily.
The retained architecture decisions include:
ADR-002: provider-neutral domain interfaces;
ADR-005: LangGraph for a bounded agent workflow;
ADR-006: authorize before retrieval and action;
ADR-012: release rollback, configuration/infrastructure rollback and teardown are separate;
ADR-016: one feature per controlled cycle;
ADR-017: quality, security and rollback are release gates.
Gate 1 must verify the current ADR files and report any missing or superseding decision. Do not reinterpret an ADR merely to make an implementation easier.
CURRENT UPSTREAM FACTS — REVALIDATE, DO NOT REIMPLEMENT
The following are owner-supplied current facts. Gate 1 must verify their repository/evidence counterparts and report only material drift.
Week 1 control foundation
Provider-neutral domain boundaries, typed strict configuration, application factory, health foundation, deterministic fake patterns, test categories and owner-gated mutation controls were implemented and approved.
Ordinary testing excludes AWS and paid activity by default.
Manual approval, saved-plan, rollback-versus-teardown and evidence-governance decisions remain protected.
Do not weaken strict typing, fail-closed configuration, fake-only ordinary tests or zero-secret defaults.
Week 2 retrieval foundation
Local embedding, ingestion, retrieval, authorization, tenant/clearance/ACL and deterministic fake contracts were implemented and approved.
Qdrant remains a controlled local/internal test pattern; OpenSearch remains the later AWS adapter boundary.
W4-002 must not access a vector store, embedder, ingestion pipeline or document corpus directly when an approved service interface exists.
No production identity provider, production data or live vector-service approval may be inferred.
Week 3 cited-RAG foundation
W3-001 through W3-004 were implemented, owner-tested, documented and final-approved in the deterministic local scope.
The recorded ordinary-suite progression was 344, 393, 439 and 465 passed; the W3 closure recorded 465 passed, 7 skipped, 4 deselected, 10 subtests and one accepted warning.
The immutable W3-002 baseline remains configs/eval/baselines/w3-002-v1.json, historically recorded with SHA-256 4bbc8f24af911ba09356196e9285d261549926c713110f9549929e1e4ac9086f; Gate 1 must verify it remains exact.
W3 cited-answer, valid-citation, safe-abstention, authorization, guardrail, evaluation and configuration-rollback contracts are protected consumers.
W3-13 is closed. Do not reopen it merely because older tracker cells remain stale; inspect the current approved learning record and report only a real conflict.
Live Bedrock/model evaluation, external judge evaluation, production performance, deployment and cloud lifecycle remain NOT RUN.
Final-approved W4-001 API and authentication foundation
W4-01 and W4-02 are completed, owner-tested, documented and final-approved.
W4-001 TEST-001 finished PASS WITH ACCEPTED WARNINGS:
Ruff: PASS.
strict MyPy: PASS across 84 source files.
focused W4 tests: 108 passed.
protected regressions: 69 passed.
complete ordinary suite: 537 passed, 7 skipped and 4 deselected.
platform validation: PASS.
rollback/cleanliness: 3 passed.
repository residue: zero.
Historical MyPy, focused-suite and stale-consumer failures were remediated and must remain recorded as historical, not current failures.
Accepted warnings are one Starlette/FastAPI TestClient deprecation warning and Git LF-to-CRLF working-copy notices.
Final W4-001 implementation reconciliation was 13 CREATE, 12 UPDATE and 0 DELETE paths.
Column N closed all four W4-001 evidence documents with owner approval at 2026-08-28 23:56:21 SGT.
W4-001 provides a strict default-off API, injected fail-closed authentication, trusted AuthContext, request IDs, bounded request handling, safe errors, readiness/liveness and a disabled /v1/agent boundary.
/v1/query and its W3 service behavior are protected and must remain unchanged unless a separate owner decision explicitly approves a contract change.
The current /v1/agent response is 501 agent_disabled and invokes no graph, RAG, retriever, provider, approval store or tool.
W4-003 still owns positive telemetry, structured runtime logging and trace correlation.
Production performance, live authentication, live providers and deployment readiness remain unproven.
The repaired tracker may still display earlier Not Started values for completed W4-01/W4-02 or upstream rows. Preserve the tracker-defined scope, but use final-approved evidence as the current implementation fact. Do not ask the owner to re-approve completed work.
ORIGINAL W4-002 TRACKER PLAN — PRESERVE EXACTLY
W4-03 — Agent state
Requirement: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Graph-routing tests pass and Mermaid matches implementation.
Canonical evidence: docs/test-evidence/W4-03-graph.txt
Rollback: Feature flag disables the graph; the query endpoint remains read-only.
W4-04 — Tools
Requirement: Add one read-only status tool with a narrow schema.
Business reason: A read-only tool proves integration at low consequence.
Acceptance: An allowlist and strict argument schema reject malformed calls.
Dependency: W4-03
Owner verification reference: pytest tests/unit/test_agent_tools.py -q
Expected result: Only the allowlisted tool executes; output is normalized and redacted.
Canonical evidence: docs/test-evidence/W4-04-read-tool.txt
Rollback: Remove tool registration and restore the prior graph.
W4-05 — Human approval
Requirement: Add a mocked write tool that requires durable approval.
Business reason: Consequential actions cannot rely on model intent.
Acceptance: Missing, rejected or expired approval prevents execution.
Dependencies: W4-03, W4-04
Owner verification reference: pytest tests/security/test_agent_approval.py -q
Expected result: 100% of mocked write executions have valid approval and an idempotency key.
Canonical evidence: docs/test-evidence/W4-05-approval.txt
Rollback: Disable the write-tool feature flag and invalidate pending approvals.
W4-06 — Budgets
Requirement: Enforce step, tool-call, token/time-deadline and retry limits.
Business reason: Bounds prevent loops, retry storms and unplanned model spend.
Acceptance: Budget-exceeded paths stop safely and record the reason.
Dependency: W4-03
Owner verification reference: pytest tests/unit/test_agent_budgets.py -q
Expected result: No repeated tool execution; timeouts are bounded.
Canonical evidence: docs/test-evidence/W4-06-budgets.txt
Rollback: Reduce limits or disable the agent route.
W4-07 — State security
Requirement: Persist only redacted agent state and audit decisions.
Business reason: Checkpoints must not become a secret or PII store.
Acceptance: State fixtures contain approved IDs and outcomes but no content or secrets.
Dependency: W4-05
Owner verification reference: pytest tests/security/test_agent_state_redaction.py -q
Expected result: Redaction assertions pass.
Canonical evidence: docs/test-evidence/W4-07-state.txt
Rollback: Purge test checkpoints and restore the safe serializer.
W4-09 — Failure testing
Requirement: Exercise denial, malformed arguments, injection, timeout, loop and rejection.
Business reason: Agent safety is proven through negative paths.
Acceptance: Every failure mode terminates without a write side effect.
Recorded dependency: W4-05:W4-08
Owner verification reference: pytest tests/security/test_agent_* tests/feature/test_agent_failures.py -q
Expected result: Audit records show the safe terminal reason.
Canonical evidence: docs/test-evidence/W4-09-failures.txt
Rollback: Disable the agent endpoint and preserve evidence.
Do not remove a step, change its owner, rewrite a dependency or move evidence to another feature.
REQUIRED SEQUENCING RECONCILIATION
W4-09 and W4-08
W4-09 belongs to W4-002, but its tracker dependency extends through W4-08, which belongs to W4-003 and is not yet implemented or approved.
Gate 1 must:
preserve W4-09 ownership under W4-002;
identify which W4-09 code/tests can be prepared safely without W4-08;
recommend either a bounded code-preparation phase or complete W4-09 edit deferral;
keep trace-dependent execution, PASS classification and canonical evidence NOT RUN until W4-08 is approved;
avoid creating telemetry, spans, exporters or W4-08 evidence in W4-002;
ask for one exact owner sequencing decision before Column L.
W4-10 after W4-06
Owner decision D12 under W4-001 explicitly deferred W4-10 until W4-06 is implemented and approved.
W4-10 remains linked to API-001; it was not removed or transferred to W4-002.
Do not create tests/feature/test_api_load_smoke.py under W4-002.
Do not create a skipped placeholder or PASS evidence.
Do not create docs/test-evidence/W4-10-load.json.
W4-10 remains NOT RUN during W4-002.
After approved W4-06 closure, W4-10 still requires a separate execution approval before using its already approved local deterministic profile.
RETAINED TECHNICAL CONTRACT
Explicit graph
Use a typed LangGraph StateGraph with the tracker-preserved logical nodes:
validate_input
authorize
retrieve
grade_evidence
answer
propose_tool
await_human_approval
execute_tool
safe_terminal
Every edge must be explicit and testable. Routing is deterministic except where existing approved evidence grading or answer generation is intentionally probabilistic behind an injected interface. Every route must terminate in an approved final outcome.
Gate 1 must map each node to current repository interfaces. Do not duplicate or weaken W2 authorization or W3 retrieval, RAG, citation, guardrail and provider logic. If the required nodes cannot be implemented without copying existing service logic, report the conflict and recommend a thin adapter/controller boundary for owner approval; do not silently collapse, rename or reinterpret tracker nodes.
Typed agent state
The state contract must be strict, bounded and provider-neutral. Gate 1 must propose exact fields, types, optionality, size rules and invariants for:
server request and run identifiers;
trusted tenant, subject and authorization references;
current node and step count;
approved outcome and safe terminal reason;
evidence/citation references rather than raw protected content;
proposed tool name and normalized-argument identity;
approval identity/status/expiry without secret material;
tool-call, retry, token and elapsed-time counters;
idempotency and replay-protection identity;
redacted audit decisions;
safe normalized result or error reference.
Do not persist raw questions, prompts, retrieved chunks, generated answers, credentials, PII, tenant content, provider envelopes, stack traces or chain-of-thought.
Authentication and authorization
Consume the W4-001 injected Authenticator and trusted AuthContext; do not create authority from request-body fields.
Authentication and explicit operation authorization occur before graph work that could retrieve, call a provider or propose/execute a tool.
Tenant, role, group, clearance and ACL enforcement stay in trusted code.
Admin or approver status gives no implicit cross-tenant authority.
Denied requests must produce no graph, retrieval, provider, approval-store or tool side effect.
Read-only status tool
Implement exactly one local read-only status tool with:
one owner-approved business purpose and exact name;
strict extra-forbidden arguments;
allowlist registration;
deterministic normalized/redacted output;
no filesystem discovery, process execution, network call, secret access or cloud activity;
no mutation and no authority expansion.
Gate 1 must inspect current domain interfaces and recommend the exact schema and data source. Do not invent production status data.
Mocked write tool and durable approval
Implement exactly one mocked write tool. It must create no external or production side effect.
Approval must be durable for the approved local scope and bound to:
tenant;
requesting subject;
authorized approver identity and role;
exact tool name and version;
canonical normalized arguments and their fingerprint;
request/run identity;
idempotency key;
decision, creation time and expiry;
one-time execution state.
Missing, altered, cross-tenant, unauthorized, rejected, expired, duplicate, replayed or already-consumed approval must deny execution. Approval races require atomic one-time consumption. Failure before mocked execution must remain safely retryable only when the owner-approved policy permits it; failure after mocked execution must not repeat the action.
Do not invent the approval-store technology, approver role, TTL, rejection behavior, retry policy or retention. They remain consolidated owner decisions after Gate 1 analysis.
Budgets and cancellation
Enforce exact owner-approved maximums for:
graph steps;
tool calls;
model/provider attempts;
tokens or usage accounting;
wall-clock deadline;
retries;
serialized state size;
concurrent agent runs.
The agent deadline must fit within the existing W4-001 overall API deadline and leave bounded response/cleanup time. Cancellation must propagate, capacity must release in finally, and no new retrieval, provider, approval or tool work may start after timeout or cancellation. No unbounded queue, recursion, loop or background task is permitted.
Redacted state, decisions and cleanup
Persist only an owner-approved allowlist of redacted fields.
Treat audit decisions as bounded local control records, not W4-003 telemetry.
Define exact retention, expiry, purge, corruption and startup behavior.
Reject malformed, duplicate-key, non-finite, unknown-field, version-mismatched or oversized persisted data.
Tests must prove purge and zero unexpected residue.
No checkpoint, cache, database, report or temporary file may survive unless explicitly approved as a retained resource.
API integration and rollback
Preserve /health, /health/live, /health/ready and /v1/query contracts.
Preserve current request-ID, error-envelope, authentication and capacity behavior.
Gate 1 must recommend an exact separate default-off agent activation boundary; do not silently reuse or broaden api_routes_enabled.
When agent behavior is disabled, preserve the approved 501 agent_disabled response and zero downstream calls.
When separately enabled, /v1/agent must authenticate first and invoke the approved controller exactly once.
The exact request/response schemas, status mapping, terminal reasons and error codes require owner approval before editing.
Configuration rollback must restore the approved W4-001 disabled-agent surface without changing W3 configuration identities.
REQUIRED OWNER INPUTS — DO NOT INVENT
The latest tracker records these as unresolved:
APP-001 — blocking
Exact local durable approval-store technology and path.
Store/schema version and canonical serialization.
Approver role and tenant/subject rules.
Approval TTL and clock policy.
Rejection, expiry, cancellation and invalidation behavior.
One-time consumption, idempotency and concurrent decision policy.
Corruption, recovery, purge and rollback behavior.
Agent budgets for W4-06 — blocking
Maximum steps, tool calls, provider attempts, tokens, retries, elapsed time, state bytes and concurrent runs.
Relationship to the W4-001 30-second request deadline and four-request API capacity.
Exact safe terminal reasons when each budget is exceeded.
COST-001 — blocking under the tracker amendment
Monthly sandbox ceiling.
Daily cost alert.
Maximum paid-evaluation spend.
Confirmation that W4-002 ordinary implementation/testing uses deterministic fakes and authorizes no paid call.
RET-001 — required for W4-07
Exact allowlisted persisted fields.
Approval and checkpoint retention period.
Redaction, expiry and purge rules.
Evidence retention ownership.
Residual-resource acceptance.
Additional exact design decisions
Agent activation flag and default.
/v1/agent request/result/error contract.
Read-only tool name, purpose, arguments and deterministic source.
Mocked write-tool name, arguments and side-effect simulation.
Graph/result versioning and safe terminal taxonomy.
W4-09 edit/execution sequencing around W4-08.
LangGraph dependency/version and owner-controlled installation boundary if it is not already available.
Gate 1 must inspect current code and propose exact recommendations, alternatives and trade-offs for one consolidated owner decision. Do not request answers that current approved repository evidence already settles.
EXPLICIT EXCLUSIONS
Exclude from W4-002 Column L unless a later separate task authorizes them:
W4-003 telemetry, OTLP, exporters, runtime logging, spans and W4-08 evidence.
W4-10 test code, execution and load evidence.
W4 release rollback drill and W4 checkpoint/learning documents.
Real write actions or external approval services.
Live JWT/JWKS, identity provider, API key or session integration.
Direct Qdrant, OpenSearch, Bedrock or external model calls.
AWS, Docker, Kubernetes, EKS, registry, deployment or infrastructure lifecycle.
Production SLO, capacity, latency or readiness claims.
Documentation, evidence, ADR, learning record, Excel or Git mutation during Column L.
MANDATORY COMPLETE IMPACT ANALYSIS — GATE 1 RESPONSE
1. Business outcome and measurable acceptance
Explain the business problem, beneficiary, architecture position, included/excluded scope and exact functional, security, privacy, reliability, cost and operational acceptance. Identify blocking prerequisites, safe deferrals and downstream consequences.
2. Governing baseline
Identify the current Git HEAD/status, Source of Truth, approved ADRs, feature records, owner decisions, W1–W4 evidence, protected W3 baseline, W4-001 implementation, dependencies, schemas, configuration and tests. Separate authoritative, historical, proposed, unknown and deferred facts. Do not treat Excel locks as blockers.
3. Producer-consumer impact matrix
For every proposed interface, class, function, schema, field, enum, error code, state key, graph node/edge, tool, approval record, configuration value, dependency and path, provide:
producer/definition;
imports, callers and constructors;
validators and canonical serializers;
API and RAG consumers;
fixtures and duplicated literals;
unit, contract, integration, feature, security, rollback and teardown consumers;
CLI, feature-matrix, validation and documentation consumers;
change required or exact reason unchanged.
Search exact repository paths; never infer filenames or stop after the first consumer.
4. Function and connection map
Map API entry, authentication, controller invocation, graph routing, retrieval/RAG delegation, tool proposal, approval decision/consumption, mocked execution, state persistence and terminal response. Include trust boundaries, state, errors, deadlines, retries, cancellation, concurrency, cleanup and zero-call denial behavior.
5. Exact proposed change boundary
Return repository-relative manifests under:
CREATE
UPDATE
DELETE
VERIFIED UNCHANGED CONSUMERS
DEFERRED
EXCLUDED
List exact files and affected symbols/sections. No wildcard, directory-only or placeholder path is permitted. Explain every included path and why every inspected consumer remains unchanged. Keep W4-09/W4-08 and W4-10 sequencing explicit.
6. Schema, serialization and fixture analysis
Define strict models and canonical ordering/fingerprints for state, tools, approvals, audit decisions and results. Cover missing, duplicated, reordered, altered, unknown, expired, replayed, corrupted, version-mismatched and oversized inputs. Identify mutable versus immutable collection types and every fixture builder/consumer.
7. Dependency and runtime API analysis
Inspect pyproject.toml, requirements/lock files, installed/approved LangGraph and Pydantic APIs, Python compatibility and repository Ruff/MyPy/Pytest scopes. Record exact compatible versions, deprecated APIs, optional dependencies, installation/download/network needs and caches. Do not install or upgrade anything during Gate 1.
8. Concurrency, cancellation and failure analysis
Trace approval races, idempotency, expected-current comparisons, atomic consumption, task cancellation, API/agent deadline nesting, bounded capacity, retry exhaustion, partial failure before/after mocked execution, persistence corruption and cleanup. Explain fail-closed, rollback and teardown behavior for every credible failure.
9. Complete automated-test design
List exact test files and positive/negative cases across graph routing, tools, approval, budgets, state redaction, API composition, authorization, schemas, feature ownership, security, rollback, teardown and cleanliness. Preserve current W4-001 and W1–W3 tests. State which W4-09 cases or evidence remain NOT RUN until W4-08.
10. Owner Execution Guide — planned, not executed
Provide owner-run commands one at a time in final order, derived from current repository configuration. For each command state prerequisites, purpose, expected result, evidence, access, privacy, cost, residue and stop condition. Include version/dependency inspection, cache-safe Ruff, strict MyPy, focused tests, protected regressions, full ordinary suite, platform validation, rollback-disable and zero-residue checks. Do not issue W4-10, service, network, model, Docker or cloud commands.
11. Security, privacy, cost and operational impact
Cover least privilege, trusted identity, tenant isolation, approval authority, replay protection, secret/PII/content exclusion, data residency, retention, local disk/CPU/memory, dependency provenance, paid-service exposure, auditability, rollback, cleanup, retained resources and residual risk.
12. Consolidated owner decisions
Ask one consolidated set of all unresolved decisions. For each provide:
exact decision required;
recommended value or pattern;
credible alternative;
trade-off and risk;
deferral consequence;
whether it blocks Column L, only testing, W4-09 closure, W4-10 or later deployment.
Do not request Column L until the complete producer-consumer surface, manifest, quality gates, rollback and residue paths are reconciled.
APPROVAL AND EXECUTION WORKFLOW
Gate 1 — this prompt's first response
Read-only review and consolidated decisions only. No mutation or execution.
Gate 2 — after owner decisions
Re-read the final HEAD/status, all proposed edit paths, all direct/indirect consumers, exact dependency APIs and patch contexts. Reconcile one exact CREATE/UPDATE/DELETE/unchanged/deferred manifest. Any material drift returns:
BLOCKED — BASELINE CHANGED — W4-002.
Column L — separate owner approval
Only an exact owner-supplied Column L approval may authorize code, configuration and automated-test edits. Column L does not authorize test execution, documentation, evidence, Git, Excel, network, model, Docker, cloud or deployment activity.
TEST-001 — owner execution
The owner executes approved commands one at a time and returns exact outputs. On FAIL or INDETERMINATE, stop and perform a complete read-only root-cause and producer-consumer audit. Propose one consolidated remediation approval; never self-remediate.
Column M — later exact documentation approval
Only after owner results may a separate manifest authorize W4-002 aggregate evidence and the applicable tracker evidence files:
docs/test-evidence/W4-03-graph.txt
docs/test-evidence/W4-04-read-tool.txt
docs/test-evidence/W4-05-approval.txt
docs/test-evidence/W4-06-budgets.txt
docs/test-evidence/W4-07-state.txt
docs/test-evidence/W4-09-failures.txt
The exact aggregate/index paths and W4-09 inclusion depend on actual results and W4-08 sequencing. Do not create them during Column L or assume their final classifications.
Column N — final owner closure
Update every Column M document with the owner's exact reviewer, role, decision, timestamp/timezone, accepted warnings/risks, PASS/FAIL/NOT RUN/INDETERMINATE facts, evidence gaps, deferrals, deployment, rollback, teardown, residue and approval conditions. Tracker update remains owner-controlled.
TASK-SPECIFIC SAFEGUARDS
Preserve one controlled feature cycle and exact tracker ownership.
Use strict typed models and extra-forbidden schemas.
Use canonical JSON/fingerprints for approval-bound values.
Keep provider/vector/approval-store implementations behind injected interfaces.
Enforce authorization before retrieval and action.
Separate read-only and write permissions.
Require durable, atomic, one-time approval for mocked write execution.
Propagate cancellation and prohibit work after deadline/cancellation.
Do not weaken assertions or add skips to hide defects.
Do not log or persist prompts, content, PII, secrets or raw exceptions.
Keep ordinary tests deterministic, local, fake-only and cost-free.
Preserve W3 evaluation/baseline and W4-001 API/authentication contracts.
Define rollback, purge, teardown and zero-residue verification before editing.
NO GUESSING OR FIRST-FILE REMEDIATION
If a later approved patch context does not match, stop editing that path and request fresh owner-approved read-only inspection. Never guess anchors, reconstruct files from memory, append shadow tests or alter consumers opportunistically.
After an owner-reported failure, preserve the exact result, classify it as PASS, FAIL, NOT RUN or INDETERMINATE, audit the full producer-consumer and configured quality-gate surface and request one consolidated remediation approval. Do not patch automatically.
LEARNING GOALS
After the approved implementation, explain:
the business value of bounded agents and human approval;
the graph, state, tool and approval flow;
why model intent cannot authorize an action;
budgets, idempotency, replay protection and failure terminals;
privacy/redaction, retention, rollback and teardown;
alternatives and trade-offs;
a layman analogy and five interview questions with answer points.
INITIAL EXECUTION INSTRUCTION
When this Main Prompt is first invoked, perform Gate 1 only. Do not edit or execute anything. End exactly:
READY FOR PRE-EDIT REVIEW — W4-002.</t>
  </si>
  <si>
    <t>READY FOR PRE-EDIT REVIEW — W4-002</t>
  </si>
  <si>
    <t>W4-03, W4-04, W4-05, W4-06, W4-07, W4-09</t>
  </si>
  <si>
    <t>FINAL W4-002 COLUMN L CODE EDIT APPROVAL
OWNER AUTHORIZATION
This prompt is the complete bounded Code Edit Approval for W4-002 / AGENT-001.
It authorizes Codex to create or update only the exact code, configuration and automated-test paths listed below. It does not authorize command execution, testing, dependency installation, documentation, evidence writing, ADR writing, runtime-store creation, endpoint/service startup, W4-09 or W4-10 completion, deployment, rollback execution, teardown execution, Git mutation or Excel editing.
APPROVED BASELINE
Repository root: E:\AI\enterprise_ai_platform
HEAD: 382f2ddd940651669a3318cc5fe323051332ba5d
Branch: main
Existing working tree: owner-approved W4-001 implementation/documentation baseline; 14 modified tracked paths and 17 untracked paths at Gate 1, revalidated unchanged at Gate 2
W4-001 status: implemented, owner-tested, documented and final-approved in the current working tree
Source of Truth SHA-256: d4ce5c6d2cbba3704e8f7f385edeb16573cf21e009b1bf7e87914bace03fb04f
Protected W3-002 baseline SHA-256: 4bbc8f24af911ba09356196e9285d261549926c713110f9549929e1e4ac9086f
Protected W3-13 SHA-256: be120b416291652670ff5d8e196932b08a7e1b6df8d1b933df4c0fd6eef91361
W4-001 evidence SHA-256: 477214dc14287f7164b54820d012efcba05d5fc48f5d12f0b88729164606df59
W4-01 evidence SHA-256: 3a644c792bbceb8037522b363498a9c489213e493bdb1aa6cf878b86fb1664de
W4-02 evidence SHA-256: f17f99f39fefbd68f4b6f46114ba94f19077e6033e1ca94696309e426bea60c4
W4-001 latest recorded ordinary suite: 537 passed, 7 skipped, 4 deselected; accepted TestClient and LF-to-CRLF warnings
Repository target: Python 3.11 semantics
Inspected owner environment: Python 3.13.7
Installed LangGraph: 1.2.11
Installed langgraph-checkpoint: 4.2.0 as the normal LangGraph dependency
langgraph-checkpoint-sqlite and aiosqlite: absent and not required
Approved runtime SQLite database and associated WAL/journal/shared-memory/lock paths: absent
The existing W4-001 changes are protected baseline content, not W4-002 drift. Codex must preserve all unrelated changes in the dirty working tree.
Open Excel processes, the tracker ~$ lock file and uncommitted workbook work are non-blocking, owner-controlled and excluded from this approval.
IMMEDIATE PRE-EDIT REVALIDATION
Immediately before the first edit, use read-only inspection only to confirm:
HEAD and branch still match.
The complete tracked/untracked baseline remains the Gate 2-reviewed W4-001 inventory.
All 22 CREATE targets remain absent.
All 18 UPDATE targets exist and their approved hashes/patch contexts remain viable.
The protected Source of Truth, W3-002, W3-13 and W4-001 evidence hashes remain exact.
The repository dependency files remain unchanged from the Gate 2-reviewed LangGraph boundary; do not execute an import/version probe during Column L.
No approved runtime SQLite or W4-09/W4-10 artifact unexpectedly exists.
Do not treat the Excel process, lock file or owner-controlled workbook changes as drift.
If any material path, hash, contract, dependency API, classification or patch context changed, edit nothing and end:
BLOCKED — BASELINE CHANGED — W4-002.
APPROVED BUSINESS AND ARCHITECTURE CONTRACT
Implement a default-off bounded LangGraph agent controller behind the existing W4-001 /v1/agent boundary.
The controller must:
behave as an explicit governed workflow, not unrestricted autonomy;
authenticate and authorize before graph, gateway, approval-store or tool activity;
consume the existing trusted AuthContext without accepting client-created authority;
preserve /health, /health/live, /health/ready and /v1/query unchanged;
preserve the disabled 501 agent_disabled zero-call contract;
use only injected provider-neutral gateway/status/planner/controller interfaces;
add exactly one read-only tool and one mocked approval-controlled write tool;
enforce strict budgets, deadlines, cancellation and zero-queue capacity;
persist only strict, bounded, redacted state and approval decisions;
prevent cross-tenant approval, self-approval, argument alteration, replay and double execution;
produce no real write, model, vector, network, cloud or deployment side effect;
support configuration rollback to the exact W4-001 disabled-agent surface;
leave zero temporary database/journal/WAL/shared-memory/lock/cache residue after tests.
APPROVED GRAPH CONTRACT
Create a typed LangGraph StateGraph with these exact logical nodes:
validate_input
authorize
retrieve
grade_evidence
answer
propose_tool
await_human_approval
execute_tool
safe_terminal
Requirements:
Every edge is explicit and deterministic except injected evidence grading/answer behavior.
Every route reaches safe_terminal and then END.
The graph has no cycle that can exceed the approved step budget.
Use LangGraph 1.2.11 context_schema; do not use deprecated config_schema.
Compile without a LangGraph checkpointer.
Configure no LangGraph retry policy.
Keep raw query, AuthContext and injected services in run-scoped context only.
Persist only the separately validated redacted application state.
Generated Mermaid must reflect the implemented nodes and edges exactly.
Gateway boundary
Add an injected provider-neutral AgentEvidenceGateway.
Default production dependency is unconfigured and fails closed.
Ordinary tests use a deterministic fake.
retrieve, grade_evidence and answer call only the gateway contract.
Do not split, edit, copy or bypass W2/W3 RAG, retrieval, citation, guardrail, provider, evaluation or baseline implementations.
A live RAG adapter remains deferred.
APPROVED STATE AND SERIALIZATION CONTRACT
Use strict, frozen, extra-forbidden Pydantic models with validated defaults. The persisted allowlist includes only bounded versions of:
schema_version = w4-002.agent-state.v1
graph_version = w4-002.graph.v1
revision
request_id and run_id as server UUIDv4
hashed tenant, subject and authorization references
current_node and step_count
outcome and terminal_reason
maximum five evidence-reference SHA-256 values
allowlisted tool name/version and canonical arguments SHA-256
approval identity/status/expiry
tool/provider/retry/token/elapsed counters
hashed idempotency key
maximum eight redacted audit decisions
result-reference SHA-256
stable safe error code
Never persist raw query, prompt, evidence/chunks, generated answer, tool output, credentials, headers, PII, tenant content, provider envelope, exception text, stack trace or chain-of-thought.
Canonical bytes must use:
UTF-8;
sorted object keys;
JSON separators (",", ":");
ensure_ascii=False;
allow_nan=False;
stable enum string values;
timestamps normalized to UTC;
one trailing newline;
SHA-256 over the exact canonical bytes.
Reject duplicate keys, non-finite values, invalid UTF-8, unknown fields, invalid versions, inconsistent counters and oversized records. Reordered object keys must produce the same fingerprint; altered values must not.
APPROVED AUTHORIZATION AND TOOL CONTRACT
Authority
Read-tool requester: same-tenant trusted READER.
Mock-write requester: same-tenant trusted ADMIN.
Approver: same-tenant trusted REVIEWER and a different subject from the requester.
ADMIN does not imply REVIEWER.
No role provides cross-tenant authority.
Authentication and pure operation authorization complete before controller invocation.
The graph authorize node revalidates the immutable authorization reference as defense in depth.
Denial causes zero graph, gateway, store or tool calls.
Read-only tool
Implement exactly:
name: get_service_status
version: 1.0
arguments: {"component":"query_wiring"}
source: injected local status provider
result: ready or degraded
It performs no mutation, network call, filesystem discovery, process execution, secret access or cloud activity.
Mocked write tool
Implement exactly:
name: mock_set_service_mode
version: 1.0
arguments: {"mode":"maintenance"}
effect: simulated local outcome only
It creates no service, configuration, external, production or cloud mutation.
The immutable tool registry contains exactly these two names. Reject unknown names/versions, missing/extra/wrong arguments and altered argument fingerprints.
APPROVED DURABLE APPROVAL AND SQLITE CONTRACT
Use a separate standard-library SQLite application store; add no package.
schema_version: w4-002.agent-store.v1
runtime_path: E:\AI\.runtime\enterprise_ai_platform\w4-002\agent-control-v1.sqlite3
approval_ttl: 10 minutes
terminal_record_retention: 24 hours
Approval must bind:
server UUIDv4 approval, request and run IDs;
hashed tenant, requester and approver identities;
trusted approver role;
exact tool name/version;
canonical argument fingerprint;
hashed idempotency key;
decision, revision and aware UTC creation/decision/expiry times;
one-time execution and safe result/error reference.
Allowed lifecycle states are:
pending
approved
rejected
expired
cancelled
executing
consumed
execution_unknown
Requirements:
Missing, rejected, expired, cancelled, cross-tenant, self-approved, altered, replayed or consumed approval denies execution.
Atomic expected-current consumption permits exactly one claimant to transition from approved to executing.
No retry is allowed after transition to executing; uncertain completion becomes execution_unknown.
Unknown versions, corruption and unavailable storage fail closed with safe errors.
Purge is explicit and bounded.
Runtime database/WAL/journal/shared-memory/lock files remain outside the repository.
Owner tests use isolated temporary stores and remove all artifacts.
The 24-hour runtime policy does not authorize test residue.
Do not create the approved long-lived runtime path during Column L.
APPROVED BUDGET, CONCURRENCY AND CANCELLATION CONTRACT
maximum_graph_steps = 8
maximum_tool_calls = 1
maximum_provider_attempts = 1
maximum_total_tokens = 4096
graph_retries = 0
agent_deadline_seconds = 25
maximum_serialized_state_bytes = 16384
maximum_concurrent_agent_runs = 1
agent_queue_capacity = 0
combined_api_admission_maximum = 4
The 25-second agent deadline nests inside the existing 30-second API deadline.
The existing four-request API limiter remains the combined outer boundary.
Agent admission is atomic, non-waiting, one-run and zero-queue.
Timeout/cancellation prevents new gateway, approval or tool work.
Cancellation propagates; no fabricated response or replacement work is created.
Capacity is released in finally on success, safe terminal, exception, timeout and cancellation.
Each exceeded budget produces the approved safe terminal reason or safe API error without leaking content.
APPROVED API CONTRACT
Add these independent default-off settings:
agent_enabled = false
agent_mock_write_enabled = false
Add the exact approved budgets, store path, schema version, TTL and retention settings with strict validation and no secrets.
When agent_enabled=false, preserve the existing W4-001 501 agent_disabled envelope with zero authenticator, controller, graph, gateway, store and tool calls.
When separately enabled:
reuse existing strict body/media/JSON handling;
authenticate and authorize before controller invocation;
invoke the injected controller exactly once;
never accept tenant, subject, roles, approver authority or request ID from JSON;
preserve server request-ID and safe error-envelope contracts.
Approve the strict discriminated request union:
{"action":"start","query":"untrusted text"}
or:
{
  "action":"decide",
  "approval_id":"UUID",
  "idempotency_key":"UUID",
  "decision":"approved",
  "tool_name":"mock_set_service_mode",
  "tool_version":"1.0",
  "arguments":{"mode":"maintenance"}
}
Approved mappings:
Condition
Result
Disabled
501 agent_disabled
Controller/store unconfigured
503 agent_not_configured
Missing/invalid authentication
Existing W4-001 401 mapping
Explicit operation denial
Existing 403 authorization_denied
Malformed JSON
Existing 400 api_request_malformed
Invalid strict schema
Existing 422 api_request_invalid
Approval required
202 approval_required
Rejected/expired/cancelled approval
200 safe-terminal result
Altered/replayed/consumed approval
409 agent_approval_conflict
Step/tool/token/state budget exceeded
200 safe-terminal result
Agent deadline exceeded
504 agent_deadline_exceeded
Agent capacity exhausted
503 agent_overloaded, retryable=true, Retry-After: 1
Store corruption/version mismatch/unavailable
503 agent_state_unavailable
Unhandled/response-validation failure
500 internal_error
Cancellation/client disconnect
Propagate cancellation; no replacement work
Return no raw exception, prompt, evidence, answer, arbitrary state, internal object or chain-of-thought.
FEATURE OWNERSHIP
Append after API-001:
feature_id: AGENT-001
status: In Progress
linked_steps: W4-03,W4-04,W4-05,W4-06,W4-07,W4-09
Its implementation paths are exactly the 40 editable paths below, in CREATE order followed by UPDATE order, without duplicates. W4-09 remains linked but NOT RUN pending W4-08.
Synchronize feature-matrix.yaml, its validator and every approved feature/path consumer together.
EXACT APPROVED PATH MANIFEST
CREATE — exactly 22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tests/fakes/agent.py
tests/unit/test_agent_graph.py
tests/unit/test_agent_tools.py
tests/unit/test_agent_budgets.py
tests/unit/test_agent_persistence.py
tests/contract/test_agent_schema.py
tests/integration/test_agent_api_composition.py
tests/security/test_agent_approval.py
tests/security/test_agent_state_redaction.py
tests/rollback/test_w4_002_agent_rollback.py
tests/teardown/test_w4_002_agent_cleanliness.py
UPDATE — exactly 18
.env.example
feature-matrix.yaml
src/enterprise_ai_platform/app.py
src/enterprise_ai_platform/config.py
src/enterprise_ai_platform/api/dependencies.py
src/enterprise_ai_platform/api/errors.py
src/enterprise_ai_platform/api/models.py
src/enterprise_ai_platform/api/runtime.py
src/enterprise_ai_platform/api/routes.py
tools/platformctl/validate.py
tests/conftest.py
tests/unit/test_api.py
tests/contract/test_api_schema.py
tests/security/test_api_authorization.py
tests/unit/test_config.py
tests/unit/test_platformctl.py
tests/feature/test_feature_matrix.py
tests/security/test_configuration_security.py
Approved pre-edit SHA-256 values, in the same order:
0779fd7101ffdc2bffc1a9c6d890d450aa150bb4cd7a94c0278e25e78c75dac2
1d4c3fcdc08d021bec345cdd691f9a71478dc1e63fe10d233cb2eb6d42f5d160
2eae3c1c423363cf5eee25de09924e630ef3e60bb45aa7859e12934cb4b5e4a5
1e5d30a2bf048d3a86a0daac292626086fcc138bf8c5c3de178ac23fa067c673
d950b25e77eac5d2f534f9d87308f6b3bfc8cfff65e6f60dc4d89867ea849f16
57178132018d2119a2cc09cbfd6eb2f694fa82e1eba34630dfc9fdf0073bef52
88ba045a677a2c800f68784098d758afcce3906dff61c6b5950504ccc03a8121
b89a97645a74d8066030e8eb1200885fba47b3dc252194c379b7a155da2343f9
e0394a3bd7e3b340b50a8d7b0c8e040366e980e4eddf134ff59cc697af6290aa
6da6d156b20c9c446b2bb35ce21cd3a3a877b25088d2d1ab826cea40e8cd72d6
d981f1018021fef8eeca33a7f9a701500326c381ddad74127f3680a1d4ee328c
96c5af60ba5a28045a5a7ef647278b556ad0591990d10f60c3ab44c15ec7c3e3
794ed0dd1626ca4b5c30c830ef06db27d96c39709601125380c4da29a40c0f7f
c925106891a2827409a6b12bece7cf9d8db29094f5e7e6359b8e553929acb11d
fa62f9b7dd7223a9ae7f3421d4332227a47db8ec89a94acb741cf8a7cacd2aa0
0854e3cdf8f8b074762bd60551566845682bf7e39ccd94d447365507ef8d89f1
10aef5835cd5b2143cdfca90def8162490b3f6d11a88f4476f6d65d8364153a9
9c5c42b1502f02645c23d427f9a4c3dfa854e5e23d1acca4445ad5f982fe2a1e
DELETE — 0
None.
Manifest reconciliation:
22 CREATE
18 UPDATE
0 DELETE
40 editable paths
VERIFIED UNCHANGED CONSUMERS — EXACTLY 60
pyproject.toml
requirements.txt
requirements-dev.txt
Makefile
src/enterprise_ai_platform/__init__.py
src/enterprise_ai_platform/json_contracts.py
src/enterprise_ai_platform/api/__init__.py
docs/adr/ADR-000-source-precedence.md
docs/adr/ADR-002-provider-boundaries.md
docs/adr/ADR-006-authorization.md
docs/adr/ADR-012-reversibility.md
docs/adr/ADR-016-feature-cycle.md
docs/adr/ADR-017-release-gates.md
docs/governance/Enterprise_AI_Architecture_Source_of_Truth_v1.1.docx
docs/governance/Enterprise_AI_Architecture_Coaching_Blueprint.docx
configs/eval/baselines/w3-002-v1.json
docs/learning/W3-learning-review.md
docs/test-evidence/README.md
docs/test-evidence/W4-001.md
docs/test-evidence/W4-01-api.txt
docs/test-evidence/W4-02-auth.txt
src/enterprise_ai_platform/rag/__init__.py
src/enterprise_ai_platform/rag/config.py
src/enterprise_ai_platform/rag/errors.py
src/enterprise_ai_platform/rag/models.py
src/enterprise_ai_platform/rag/prompt.py
src/enterprise_ai_platform/rag/service.py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src/enterprise_ai_platform/guardrails/__init__.py
src/enterprise_ai_platform/guardrails/adapter.py
src/enterprise_ai_platform/guardrails/errors.py
src/enterprise_ai_platform/guardrails/models.py
src/enterprise_ai_platform/guardrails/policy.py
src/enterprise_ai_platform/llm/__init__.py
src/enterprise_ai_platform/llm/errors.py
src/enterprise_ai_platform/llm/models.py
src/enterprise_ai_platform/llm/provider.py
tests/fakes/api.py
tests/integration/test_api_dependency_composition.py
tests/rollback/test_w4_001_api_rollback.py
tests/teardown/test_w4_001_api_cleanliness.py
tests/unit/test_app.py
tests/feature/test_health_contract.py
tests/security/test_repository_security.py
tests/security/test_platformctl_approval_gates.py
tests/contract/test_rag_result.py
tests/unit/test_rag_pipeline.py
tests/feature/test_w3_001_cited_rag.py
tests/feature/test_w3_002_offline_evaluation.py
tests/feature/test_w3_003_guardrails.py
tests/feature/test_w3_004_rag_rollback.py
tests/security/test_w3_001_cited_rag_security.py
tests/security/test_w3_002_evaluation_security.py
tests/security/test_w3_003_guardrails_security.py
tests/security/test_w3_004_rag_rollback_security.py
These may be read but not edited. W4-002 consumes their approved contracts through injected boundaries and later regression execution.
DEFERRED — EXACTLY 18 ITEMS
Exact paths — 10
docs/adr/ADR-005-langgraph.md
tests/feature/test_agent_failures.py
docs/test-evidence/W4-03-graph.txt
docs/test-evidence/W4-04-read-tool.txt
docs/test-evidence/W4-05-approval.txt
docs/test-evidence/W4-06-budgets.txt
docs/test-evidence/W4-07-state.txt
docs/test-evidence/W4-09-failures.txt
tests/feature/test_api_load_smoke.py
docs/test-evidence/W4-10-load.json
Controlled deferred actions — 8
Live AgentEvidenceGateway/RAG adapter.
W4-003 telemetry, runtime logging, tracing, exporters and W4-08.
Production identity and authentication integration.
Real write tool or external approval service.
Service startup and local, production or cloud deployment.
Separate Python 3.11 compatibility verification before deployment.
W4 release rollback drill and operational teardown.
Week 4 aggregate, index, feature, architecture, checkpoint and learning documentation pending an exact Column M manifest.
W4-09 remains owned by AGENT-001 and NOT RUN. W4-10 remains owned by API-001 and NOT RUN.
EXCLUDED — 9 CATEGORIES
W4-003 telemetry, OTLP, exporters, spans, runtime logging and W4-08 evidence.
W4-10 implementation, execution and load evidence.
W4 release rollback, checkpoint and learning closure.
Real write actions and external approval services.
Live JWT/JWKS, identity-provider, API-key or session integration.
Direct Qdrant, OpenSearch, Bedrock or external-model calls.
AWS, Docker, Kubernetes, EKS, registry, infrastructure and deployment activity.
Production SLO, capacity, latency, readiness or cost claims.
Documentation, evidence, ADR, Excel and Git mutation during Column L.
APPROVED AUTOMATED-TEST CODE
Write tests that prove, without executing them:
exact node/edge set, Mermaid parity, safe termination and no cycles;
strict tool allowlist, schemas and normalized redacted results;
each budget independently stops work without repeated calls;
deadline, cancellation and capacity release;
canonical fingerprints and reordered-key equivalence;
invalid versions, duplicate keys, non-finite values, corruption and size rejection;
SQLite atomic compare-and-swap and exactly-one concurrent approval consumer;
missing, rejected, expired, cancelled, altered, cross-tenant, self-approved, replayed and consumed approval denial;
synthetic query, prompt, chunk, answer, secret and PII sentinels absent from state/store/audit/errors;
disabled and enabled API composition, authentication first and controller exactly once;
/v1/query and all W4-001 contracts unchanged;
both agent flags disabled restore exact W4-001 behavior;
temporary SQLite database, WAL/journal/shared-memory/lock and cache residue removed;
protected W3 identities remain unchanged.
Do not create the dedicated W4-09 test or any W4-10 test. Do not add skips, xfails or weakened assertions to hide deferred work or defects.
DEPENDENCY, SECURITY, COST AND LIFECYCLE BOUNDARY
Add or change no dependency, lock, package range or build configuration.
Use Python 3.11-compatible semantics and current installed LangGraph 1.2.11 APIs.
Do not create a local virtual environment or dependency cache.
Keep trusted identity separate from transport JSON.
Treat hashes as pseudonymous, not anonymous.
Persist no raw content, credential, PII, prompt, evidence or answer.
No data leaves the workstation.
Approved paid-service ceiling and maximum paid evaluation spend: USD 0.
Local CPU, memory, disk and owner time remain real but are not paid-provider cost.
Do not create the approved long-lived runtime store during editing.
Configuration rollback disables both agent flags.
Source/config/test files are intended retained resources.
Operational release rollback, deployment and cloud teardown remain NOT RUN.
NO EXECUTION
Codex must not run:
Python/import/version commands;
Ruff, MyPy, Pytest, platform validation, pre-commit, formatter or build;
the application, API, graph, SQLite store or any endpoint/client;
W4-09 or W4-10 work;
service, network, model, provider, Docker, AWS, EKS or Terraform commands;
rollback, cleanup, teardown or evidence commands;
Git or Excel mutation.
The owner will execute approved TEST-001 commands later, one at a time.
FAILURE AND PATCH-CONTEXT RULE
If an approved patch context no longer matches:
Stop editing that path.
Do not guess an anchor, overwrite owner content or reconstruct the file from memory.
Do not create a shadow path or weaken a test.
Preserve completed in-scope changes.
Report the exact drift and request one bounded remediation or manifest-expansion approval.
Do not modify any path outside the 40-path editable manifest.
REQUIRED COMPLETION RESPONSE
After writing the approved code/configuration/test code, return:
A simple business summary and technical implementation summary.
Exact final CREATE/UPDATE/DELETE manifest and counts.
The implemented graph, state, tool, approval, budget, API, rollback and cleanup contracts.
A complete AGENT-001 ownership/path reconciliation.
Confirmation that all 60 VERIFIED UNCHANGED consumers were not modified.
Confirmation that W4-09, W4-10, ADR/documentation/evidence and live integrations remain deferred/NOT RUN.
Confirmation that no test, command, service, SQLite runtime, dependency, network, provider, cloud, Git or Excel operation was run.
Any warnings, limitations or deviations without inventing PASS.
The planned owner TEST-001 sequence, but do not issue or run the first command until the owner requests testing.
A post-implementation learning summary covering business value, technical flow, layman analogy, key decisions, security/reliability/cost, rollback/teardown and five interview Q&amp;As.
End exactly:
READY FOR OWNER TESTING — W4-002.
FINAL AUTHORIZATION
I approve this exact W4-002 Column L Code Edit Approval.
Codex may now write only the 40 approved paths and only the contracts described above. No other authority is granted.</t>
  </si>
  <si>
    <t>COLUMN M — EXACT DOCUMENT WRITING APPROVAL — W4-002
1. Approval identity and purpose
This is a separate owner authorization to write the approved W4-002 architecture, governance and test-evidence documents after completion of the bounded implementation and owner-executed TEST-001 sequence.
Prompt ID: W4-002-COLUMN-M-001.
This approval authorizes document writing only. It does not authorize application-code, configuration, automated-test, feature-matrix, Excel, Git or runtime changes. It does not authorize another test run, remediation, service startup, database creation, network access, provider/model use, installation, deployment, rollback execution or cloud activity.
The owner-controlled Excel process, workbook state and corresponding ~$ lock file are non-blocking and are outside this approval. They must not be treated as an owner decision or a Column M blocker.
2. Authoritative completed implementation facts
Record the following owner-supplied facts exactly. Do not reinterpret, improve or relabel them:
W4-002 bounded implementation is complete.
Final implementation boundary: 22 CREATE, 20 UPDATE, 0 DELETE; 42 editable implementation paths in total.
The 20 updates comprise the original 18 approved UPDATE paths plus two separately owner-approved remediation paths.
Final path-boundary verification: PASS.
Ruff: PASS.
MyPy: PASS — 95 source files.
Focused functional, security, rollback and cleanliness tests: PASS.
Complete ordinary suite: PASS — 613 passed, 7 skipped, 4 deselected.
Platform validation: PASS.
Zero-residue verification: PASS.
Final whitespace validation: PASS.
Accepted warning: one Starlette httpx deprecation warning.
Open INDETERMINATE results: none.
All failures encountered during TEST-001 were remediated through separately owner-approved bounded changes and their reruns passed.
Historical failures must remain visible:
Initial MyPy run: two failures; later remediated and passed.
Initial focused suite: two failures; later remediated and passed.
Initial complete suite: two stale-consumer failures; later remediated and passed.
W4-09 dedicated failure test, execution and evidence: NOT RUN, deferred until W4-08 is implemented and approved.
W4-10 load test, execution and evidence: NOT RUN, deferred under the existing owner decision until W4-06 is implemented and approved and a separate execution approval is supplied.
Seven skipped and four deselected tests remain NOT RUN; do not classify them as PASS.
Real model, Qdrant, tokenizer, external network, cloud and deployment activity: NOT RUN.
Python 3.11 compatibility execution: NOT RUN; code was authored to Python 3.11 semantics and owner testing used Python 3.13.7.
Production performance, production identity, live model/provider integration, deployment readiness and cloud readiness are not proven.
Provider/cloud cost: USD 0. Local owner time and workstation cost are not represented as zero.
Configuration rollback and automated rollback tests: PASS.
Cleanliness and zero unexpected runtime residue: PASS.
Operational release rollback: NOT RUN.
Operational deployment and teardown: NOT RUN because Column L created no running service, container or cloud resource.
Intended source and test files are retained project artifacts.
The approved long-lived SQLite runtime path was not created during owner testing; temporary test databases and associated journal, WAL, shared-memory and lock artifacts reached zero residue.
The documentation may identify the exact two remediation UPDATE paths only after reading the owner-approved remediation records or the final verified implementation inventory. Do not guess their names. A documentation-path mismatch is a blocker; lack of an invented detail is not permission to infer it.
3. Exact Column M document boundary
CREATE — exactly 10
docs/test-evidence/W4-002.md
docs/adr/ADR-005-langgraph.md
docs/architecture/agent-approval.md
docs/architecture/retention.md
docs/cost-estimates/budget.md
docs/test-evidence/W4-03-graph.txt
docs/test-evidence/W4-04-read-tool.txt
docs/test-evidence/W4-05-approval.txt
docs/test-evidence/W4-06-budgets.txt
docs/test-evidence/W4-07-state.txt
UPDATE — exactly 1
docs/test-evidence/README.md
VERIFIED UNCHANGED
The W4-002 implementation, configuration, test and feature-ownership paths must remain unchanged during Column M. The final implementation inventory remains 22 CREATE, 20 UPDATE, 0 DELETE and must be cited from the approved records without rewriting implementation files.
The following final-approved W4-001 and protected W3 records must be read only when needed for accurate continuity and must remain unchanged:
docs/test-evidence/W4-001.md
docs/test-evidence/W4-01-api.txt
docs/test-evidence/W4-02-auth.txt
docs/learning/W3-learning-review.md
configs/eval/baselines/w3-002-v1.json
PROHIBITED / DEFERRED DOCUMENT PATHS
Do not create or update any of the following under this approval:
docs/test-evidence/W4-09-failures.txt
docs/test-evidence/W4-10-load.json
docs/test-evidence/W4-08-trace.json
docs/rollback-records/W4-release.md
docs/deployment-records/W4-signoff.md
docs/learning/W4-learning-review.md
Any tracker workbook or Excel evidence field.
W4-09 remains owned by AGENT-001 and W4-10 remains owned by API-001. Neither task is removed, transferred, passed or closed by this documentation action.
DELETE — none
EXCLUDED
Every repository path not explicitly classified under CREATE or UPDATE above is excluded from modification.
Manifest reconciliation for this approval: 10 CREATE, 1 UPDATE, 0 DELETE; exactly 11 Column M documents.
4. Mandatory read-only document preflight
Immediately before writing:
Re-read all eleven exact documentation paths and classify their actual existence.
Confirm each CREATE target is absent and the UPDATE target exists and is readable.
Re-read the owner-approved W4-002 Column L, remediation and TEST-001 records needed to support every documented claim.
Confirm the final implementation inventory remains 22 CREATE, 20 UPDATE and 0 DELETE, with no unexpected implementation or runtime-residue path.
Confirm the W4-001 evidence and protected W3 baseline references required for continuity have not been modified by Column M.
Treat an open Excel process, the workbook's uncommitted state and its ~$ lock file as non-blocking and owner-controlled. Do not read, write, checksum-bind or request closure of Excel for this task.
Stop before editing if any approved document target has the wrong existence classification, has conflicting current content, or if the supplied owner facts conflict with the final implementation evidence.
If a real conflict is found, return a precise blocker naming the path and conflicting fact. Do not expand the manifest, silently overwrite an existing CREATE target, invent a replacement path or change implementation content.
5. Governing W4-002 decisions to document
Document the approved decisions without creating new architecture authority:
Feature ownership: AGENT-001, status In Progress, follows API-001, and links exactly W4-03, W4-04, W4-05, W4-06, W4-07, W4-09.
W4-09 remains linked but its dedicated test, execution, PASS classification and evidence are deferred until W4-08.
W4-10 remains linked to API-001, is NOT RUN, and is outside W4-002.
LangGraph version inspected during planning: 1.2.11; use context_schema, not deprecated config_schema.
No LangGraph checkpointer dependency or SQLite checkpointer plugin was added.
Durable approval/state persistence uses the Python standard-library SQLite boundary owned by the application.
The agent consumes evidence through an injected, fake-only AgentEvidenceGateway; the protected W3 RAG, retrieval, guardrail and provider contracts were not redefined.
agent_enabled=false and agent_mock_write_enabled=false are the safe defaults.
The read tool is get_service_status v1.0 with exact argument {"component":"query_wiring"} and an injected local status source.
The mock write tool is mock_set_service_mode v1.0 with exact argument {"mode":"maintenance"} and produces a simulated outcome only.
Read authority requires READER.
A mock-write requester requires same-tenant ADMIN.
An approver requires same-tenant REVIEWER and a different subject from the requester.
Authentication, operation authorization and human approval remain separate controls; model intent cannot grant authority.
Approval IDs are server-generated UUIDv4 values.
Approval TTL is ten minutes.
Approval binds the same tenant and the exact canonical fingerprint of the request, requester, tool version, arguments and idempotency identity.
Rejection and expiry are terminal.
Atomic compare-and-swap consumption prevents replay and concurrent double execution.
No retry occurs after an approval record enters executing or an uncertain post-consumption state.
SQLite schema identity: w4-002.agent-store.v1.
Approved external runtime path: E:\AI\.runtime\enterprise_ai_platform\w4-002\agent-control-v1.sqlite3.
Terminal local records are retained for 24 hours and removed by an explicit bounded purge.
Corrupt or inconsistent persisted state fails closed.
Persisted tenant and subject references are hashed and therefore pseudonymous, not anonymous.
Raw prompts, evidence, answers, credentials, PII and exception content are not persisted.
Exact budgets: 8 steps; 1 tool call; 1 provider attempt; 4,096 tokens; 0 retries; 25-second agent deadline; 16,384-byte state; 1 concurrent agent run; queue capacity 0; combined API admission maximum 4.
The agent deadline remains nested inside the existing 30-second API deadline.
W4-002 paid-provider and paid-evaluation ceiling is USD 0; any non-zero paid spend is outside the approved scope.
Disabling the agent is configuration rollback. Purging records is cleanup. Neither is evidence of a production release rollback or cloud teardown.
6. Required content by document
docs/test-evidence/W4-002.md
Create the aggregate W4-002 implementation and evidence record. Explain the business purpose, delivered agent-control capabilities, final 22 CREATE/20 UPDATE/0 DELETE implementation boundary, owner-executed TEST-001 results, historical failures and successful remediation, accepted warning, security/privacy outcomes, cost, limitations, deferrals, rollback, cleanup, teardown and residual-resource facts. Reconcile W4-03 through W4-07 without duplicating or fabricating W4-09/W4-10 evidence. This is the primary W4-002 handover record for later Week 4 work and final sign-off.
docs/adr/ADR-005-langgraph.md
Record the accepted W4-002 orchestration decision, context, drivers, approved LangGraph boundary, application-owned SQLite persistence, alternatives, trade-offs, consequences, failure behavior, reversibility and deferred live integration. Clearly distinguish LangGraph graph orchestration from approval authorization and durable business state. State that this ADR records the already approved decision; it does not newly approve deployment or production use.
docs/architecture/agent-approval.md
Explain the complete start/decide/execute approval flow, trusted identity boundary, role separation, same-tenant rule, different-subject rule, canonical fingerprint, UUIDv4 approval ID, ten-minute TTL, terminal states, atomic one-time consumption, replay prevention, cancellation behavior and safe error results. State that only the artificial mock write is implemented; there is no real external write action or approval service.
docs/architecture/retention.md
Record the exact SQLite schema identity and approved external runtime path, redacted/pseudonymous persisted fields, excluded raw content, 24-hour terminal-record retention, explicit bounded purge, corruption fail-closed behavior, temporary-test cleanup and verified zero residue. Distinguish retention from backup, deployment, operational teardown and production data governance, none of which were tested here.
docs/cost-estimates/budget.md
Record the exact execution budgets and the W4-002 USD 0 paid-provider/paid-evaluation ceiling. Explain that local CPU, memory, disk, owner time and workstation cost exist but were not monetized. Do not convert deterministic fake-test timings or concurrency into production capacity, latency, SLO or cost claims.
docs/test-evidence/W4-03-graph.txt
Record deterministic graph/controller evidence: bounded states and transitions, one admitted run with zero queue, nested deadline, cancellation/capacity release, fake-only evidence boundary, safe default-disabled behavior and the applicable owner test results. Preserve historical failures and later PASS reruns where they affected this evidence.
docs/test-evidence/W4-04-read-tool.txt
Record the exact read-tool name, version and argument, required READER authority, injected local status source, bounded call budget, safe output, denial-before-tool behavior and lack of live RAG/vector/model/network activity.
docs/test-evidence/W4-05-approval.txt
Record the exact mock-write tool, separation of requester and approver duties, tenant binding, fingerprint binding, TTL, rejection/expiry, compare-and-swap consumption, replay/concurrency controls, redaction and simulated-only outcome. This is the canonical W4-05 evidence path. Do not create or reference W4-approval.txt as if it were the approved evidence artifact.
docs/test-evidence/W4-06-budgets.txt
Record every approved budget and its tested fail-closed behavior. State explicitly that fake/local budget evidence does not prove production latency, capacity or provider behavior.
docs/test-evidence/W4-07-state.txt
Record canonical serialization, strict state schema, redacted durable fields, SQLite lifecycle, atomic state changes, corruption handling, retention/purge policy and zero-residue results. Preserve the limitation that no long-lived runtime database was created or operationally exercised.
docs/test-evidence/README.md
Add a concise W4-002 index entry for the ten new documents, the final implementation/test classification and the precise deferrals. Do not claim W4-09, W4-10, production identity, live providers, Python 3.11 execution, deployment, production performance or cloud readiness. Do not add links to absent evidence files.
7. Evidence-writing rules
Every document must use business-first, plain language while preserving exact technical facts.
For each applicable document, record:
Business purpose.
Technical scope and governing decisions.
Exact owner-executed results.
Current PASS, historical FAIL, NOT RUN and INDETERMINATE classifications.
Accepted warning.
Security and privacy outcomes.
Limitations, evidence gaps and deferred work.
Network, provider/model and cloud activity.
Cost classification.
Configuration rollback, operational rollback, cleanup, teardown and residual-resource facts as distinct concepts.
Retained project artifacts and absence of unexpected runtime residue.
Fields pending final Column N owner approval.
Never:
infer a test result, reviewer fact, approval or deployment outcome;
erase historical failures because later reruns passed;
convert skipped, deselected, deferred or unexecuted work into PASS;
claim the dedicated W4-09 or W4-10 task was implemented or tested;
expose raw prompt, evidence, answer, credential, PII, secret, exception, chain-of-thought or internal dependency content;
claim production readiness, capacity, latency, SLO compliance, live authentication, live provider behavior or cloud readiness;
edit code, configuration, tests, feature ownership, Excel or Git state;
run tests, formatters, linters, validators, services, databases, deployments or network/cloud commands;
create a document outside the eleven-path manifest.
8. Mandatory pending Column N section in every document
Add a clearly identifiable final section to each Markdown document:
### Final Owner Approval — W4-002
Add the equivalent plain-text heading to each .txt document:
FINAL OWNER APPROVAL — W4-002
The section must remain pending and must contain fields for:
Reviewer exact name.
Reviewer role.
Exact approval decision.
Approval date and time.
Timezone.
Accepted warnings and risks.
Evidence gaps and limitations.
Current PASS facts.
Historical FAIL facts and successful remediation.
NOT RUN facts, including W4-09 and W4-10.
INDETERMINATE facts, explicitly None if owner-confirmed.
Deferred actions and responsible owners.
Deployment facts.
Configuration-rollback and operational-rollback facts.
Cleanup, teardown and residual-resource facts.
Approval conditions, or None.
Do not populate owner identity, final decision or approval time unless supplied in a later explicit Column N response. Do not write language that implies final approval before Column N.
9. Validation after writing
After writing, perform read-only content validation only:
Re-read all eleven documents completely.
Confirm ten documents were created, one was updated and no other path changed because of Column M.
Confirm every required identifier, result, warning, limitation and lifecycle classification is present in its applicable document.
Confirm W4-09 and W4-10 remain NOT RUN and that their evidence files remain absent.
Confirm no document claims production, deployment, live-provider, cloud or Python 3.11 compatibility evidence.
Confirm every document contains its pending Final Owner Approval section.
Confirm the README links only to documents that exist.
Confirm no raw sensitive or synthetic request content was copied into documentation.
Confirm implementation files, tests, configuration, Excel and Git state were not mutated.
Do not run the application or any test/tool command for validation. Validate the written documents by reading them.
10. Mandatory Column M response
Return a complete table titled:
COLUMN M APPROVED DOCUMENT MANIFEST — W4-002
The table must contain exactly one row for each of the eleven created or updated documents and include:
Exact path.
Classification: CREATE or UPDATE.
Business purpose.
Technical/decision scope.
Owner results recorded.
Historical failures and current result.
Accepted warnings, risks and limitations.
Evidence gaps and NOT RUN work.
Network/provider/cloud activity and cost.
Deployment facts.
Configuration-rollback and operational-rollback facts.
Cleanup, teardown and residual-resource facts.
Fields pending Column N.
Exact Final Owner Approval section location.
Column N closure requirement.
After the table, report:
Document count: 11.
CREATE count: 10.
UPDATE count: 1.
DELETE count: 0.
Missing documents: 0, or list exact blockers.
Unexpected documents: 0, or list exact blockers.
W4-09 evidence status: absent and NOT RUN.
W4-10 evidence status: absent and NOT RUN.
Complete manifest reconciliation: PASS or the exact conflict.
The returned Column M manifest becomes the complete mandatory Column N closure scope. Column N must update all eleven documents; it may not close only the aggregate record, README or selected evidence files.
11. Column N boundary
Column N is not authorized by this prompt. After owner review of all eleven documents, require one explicit owner response containing every approval fact listed above.
At Column N, block if:
any owner fact is missing;
any of the eleven documents is omitted;
a document differs from the owner-reviewed version;
a documented test/evidence fact conflicts with the proposed approval;
any historical failure, warning, risk, limitation, residual resource or NOT RUN item is omitted;
W4-09 or W4-10 is falsely shown as PASS or closed;
the Column M and Column N manifest paths or counts do not match.
The owner retains responsibility for any later Excel tracker update and Git action. Do not edit the tracker or mutate Git during either Column M or Column N unless separately and explicitly authorized.
End exactly:
DOCUMENTATION READY FOR OWNER REVIEW — W4-002.</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</si>
  <si>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</si>
  <si>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FOUR APPROVAL GATES PLUS OWNER TESTING AND WEEKLY LEARNING — TRACKER v1.3.5
REVISED MAIN PROMPT — W4-003
1. Task identity
Week: Week 4
Prompt ID: W4-003
Feature/outcome: Application telemetry and redacted audit trail
Business purpose: Make each RAG and agent stage explainable operationally without exporting protected content.
Original covered tracker steps: W3-09, W4-08
Carried downstream closures: W4-09 and W4-10, each retaining its original feature ownership and requiring a separate bounded approval after its prerequisite is satisfied.
Required input boundary: explicit OpenTelemetry exporter policy; no prompt, answer, retrieved document, evidence, credential, PII, secret or chain-of-thought export.
Expected output: approved code/configuration/automated-test-code changes only; owner-run verification guidance; later separately approved evidence and learning documentation.
Task type: implementation.
First response position: Gate 1 read-only pre-edit review only.
Next possible approval position after Gate 1 decisions and Gate 2 revalidation: exact bounded Column L Code Edit Approval.
2. Owner-controlled first response — Gate 1 only
On the first invocation of this Main Prompt, perform read-only inspection only.
Do not create, edit, delete, install, download, execute application code, run tests, lint, format, type-check, build, start services, create a collector, contact an exporter, use Docker, access a registry, use a model/provider, deploy, remediate, roll back, tear down, edit Excel or mutate Git. Do not stage, commit or push.
Read-only repository inspection commands are permitted only to establish the current baseline, inspect files, search producers and consumers, and compute hashes. Never infer a path, result, owner decision, API, dependency version or runtime connection.
An open Excel process, the workbook's uncommitted state and its ~$ lock file are owner-controlled and non-blocking. Record them only if observed; do not treat them as an owner decision, require Excel closure or checksum-bind the workbook.
3. Source precedence and governing authority
Apply the approved source order:
Enterprise AI Architecture Source of Truth v1.1.
Approved ADRs and owner decision records.
Coaching Blueprint and approved learning records.
Authoritative repaired Execution TRACKER v1.3.5.
Approved feature requirements, implementation contracts and evidence.
Later final-approved evidence supersedes stale tracker status cells or historical prompt statements, but it does not silently change the tracker’s task ownership, business purpose or dependency structure.
If sources genuinely conflict, report the exact conflict and stop. Do not silently reconcile architecture, evidence or owner decisions.
4. Current approved baseline facts to verify, not re-approve
Gate 1 must verify these facts against the current repository and final-approved records. They are supplied as current planning context and must not be treated as permission to edit.
Weeks 1–3
Week 1, Week 2 and the implemented Week 3 capabilities are final-approved under their recorded boundaries.
W3-001 cited RAG, W3-002 deterministic evaluation/baseline, W3-003 guardrails and W3-004 RAG configuration rollback are completed and approved.
The protected W3-002 immutable baseline was previously recorded with SHA-256 4bbc8f24af911ba09356196e9285d261549926c713110f9549929e1e4ac9086f; Gate 1 must revalidate the current file rather than assuming the hash.
W3-09 is intentionally carried into W4-003 by the tracker. Its completion must not be inferred from general Week 3 sign-off.
W4-001
The FastAPI service boundary and injected authorization seam are final-approved.
W4-01 and W4-02 are completed.
The last W4-001 ordinary-suite closure recorded 537 passed, 7 skipped and 4 deselected before W4-002 expanded the suite.
W4-10 was explicitly deferred and remains owned by API-001.
W4-002
The bounded LangGraph agent controller is final-approved.
W4-03 through W4-07 are completed.
Final implementation boundary: 22 CREATE, 20 UPDATE and 0 DELETE implementation paths.
Final W4-002 owner results: Ruff PASS; MyPy PASS over 95 source files; focused functional/security/rollback/cleanliness tests PASS; full ordinary suite PASS with 613 passed, 7 skipped and 4 deselected; platform validation PASS; zero-residue verification PASS; whitespace and final path-boundary verification PASS.
Accepted warning: one Starlette httpx deprecation warning.
Historical MyPy, focused-suite and stale-consumer full-suite failures were remediated through separately approved changes and passed their reruns; preserve them as historical FAIL facts.
Open FAIL results: none. Open INDETERMINATE results: none.
Column N is closed across all 11 approved W4-002 documents at 2026-08-29 14:50:21 SGT, reviewer Gyan Prakash Rai, decision FINAL APPROVAL AFTER OWNER TEST — APPROVED.
W4-09 remains owned by AGENT-001, is NOT RUN and has no evidence file.
W4-10 remains owned by API-001, is NOT RUN and has no evidence file.
Real identity/provider/model, Qdrant, network/cloud, deployment, production performance and Python 3.11 compatibility execution remain NOT RUN where recorded.
Current baseline identity
Do not reuse a historical Git SHA. Gate 1 must report the current full HEAD, branch, tracked and untracked status, and hashes of governing W4-001/W4-002 evidence and protected baseline files. Code/configuration/test/document drift is material. The Excel workbook and its ~$ lock remain non-blocking and excluded.
5. Original tracker scope — preserve exactly
W3-09 — application metrics without content
Action: Record retrieval, model, token/usage and guardrail metrics without content.
Business reason: Stage-level data explains latency, errors and cost.
Acceptance: Metrics include approved versions and outcomes and exclude prompt/document text.
Original dependency: W3-04, now final-approved.
Owner verification reference: pytest tests/unit/test_telemetry.py -q.
Expected result: Redaction tests pass and metric names are documented.
Canonical evidence: docs/test-evidence/W3-09-telemetry.txt.
Rollback: Disable the exporter or revert instrumentation without changing the core answer path.
Current status: NOT RUN until owner execution produces evidence.
W4-08 — correlated API/RAG/agent trace
Action: Trace API to authorization, retrieval, embedding where used, LLM, guardrail, approval and tool stages.
Business reason: Correlated traces make probabilistic workflows diagnosable.
Acceptance: Approved deterministic local scenarios prove correlated spans and redacted structured logs across all required stages.
Original dependency: W4-01 through W4-07, now final-approved.
Owner verification reference: pytest tests/feature/test_trace_correlation.py -q.
Expected result: Trace ID links structured logs and spans; protected content is absent.
Canonical evidence: docs/test-evidence/W4-08-trace.json.
Rollback: Disable the exporter while preserving the core API, RAG and agent services.
Current status: NOT RUN until owner execution produces evidence.
Original downstream dependency
W4-09 depends on W4-08 and may not be executed or evidenced until W4-08 is implemented, owner-tested and approved under the required boundary.
W6-06 consumes the vendor-neutral OpenTelemetry contract later and owns CloudWatch/X-Ray plus Prometheus/Grafana/Jaeger deployment choices.
6. Business outcome and measurable acceptance
Deliver a vendor-neutral application observability foundation that allows SRE, security, developers and auditors to answer:
Which request and safe workflow stages ran?
Which stage succeeded, abstained, was denied, was rejected, timed out, exceeded a budget or failed safely?
How much bounded time, tool usage, token usage and approved provider/retrieval activity occurred?
Did telemetry remain correlated and redacted?
Did an exporter failure leave the business request and security controls intact?
Measurable acceptance must include:
Deterministic metrics for the approved W3-09 stages with documented names, units, types and bounded attributes.
Correlated local traces for the approved W4-08 scenarios.
Structured metadata logs containing approved correlation fields and safe event fields only.
Zero prompt, answer, retrieved content, evidence text, tool arguments/results, credentials, secrets, PII, tenant/subject identity, provider envelope, stack trace or chain-of-thought leakage.
No unbounded metric label/cardinality, telemetry queue, retry or background task.
Telemetry/export failure does not change an authorized business outcome, bypass a security control or expose data.
Default operation is local, offline and provider-free.
Clean shutdown and zero unexpected telemetry residue.
No claim of production monitoring, alerting, SLO compliance, capacity or cloud readiness.
7. Technical contract to reconcile at Gate 1
Gate 1 must inspect the actual repository and propose the smallest coherent contract. Do not assert these symbols or paths already exist.
7.1 Telemetry boundary
Recommend a provider-neutral application boundary implemented with the approved OpenTelemetry API/SDK surface only after dependency inspection. Business components may emit approved domain observations but must not depend on CloudWatch, X-Ray, Prometheus, Grafana, Jaeger or a vendor-specific APM API.
The boundary should support:
trace/span creation and context propagation;
counters and histograms with documented units;
structured safe metadata events/log records;
resource/service identity;
explicit exporter configuration;
deterministic in-memory test readers/exporters;
redaction/attribute allowlisting before export;
bounded failure isolation and shutdown.
7.2 Safe telemetry schema
Gate 1 must recommend exact names and schemas. At minimum, analyze:
service name;
operation/stage name;
outcome and safe terminal reason;
safe error code/classification;
duration and unit;
request correlation ID in traces/logs, not as a metric label;
trace ID and span ID in structured logs;
bounded model, prompt, retriever, dataset/configuration or tool version identifiers where already approved and low-cardinality;
numeric token/usage, step and tool-call counts;
approval outcome without approval content;
exporter-drop/failure count.
Never use tenant ID, subject ID, approval ID, request ID, query text, source/document/chunk ID, free-form exception text or other unbounded values as metric labels.
7.3 Redaction model
Prefer a strict attribute/event allowlist over a denylist. Instrumentation must pass normalized enums, counts, durations, versions and safe codes—not raw business objects. Redaction must occur before any processor, log handler, queue or exporter receives the record.
Tests must use artificial secret, PII, prompt, evidence, tool-argument and exception sentinels and prove their absence from:
spans and span events;
metric points and attributes;
structured logs;
exporter errors;
test reports/evidence;
buffers, temporary files and retained state.
7.4 Correlation and trust boundaries
Preserve the W4-001 server-generated request ID policy. Ignore untrusted inbound request, correlation and proxy identifiers. OpenTelemetry trace context acceptance or rejection is an owner decision: Gate 1 must analyze spoofing, trust-boundary and cardinality effects before proposing propagation behavior.
Authentication and authorization must still occur before RAG, agent, retrieval, provider or tool work. Telemetry must observe decisions but never become an authority source.
7.5 One-trace acceptance and W4-002 gateway boundary
The tracker says one local trace contains all required stages, while W4-002 deliberately deferred a live AgentEvidenceGateway/RAG adapter. Gate 1 must inspect the actual interfaces and choose an honest deterministic proof:
Preferred direction: a test-only composition using approved concrete services with fake retrieval/provider/status/tool dependencies, without activating a production Agent-to-RAG adapter; or
If a single real composed trace is incompatible with approved contracts, propose exact separate query and agent trace scenarios and identify the tracker acceptance wording that requires owner reconciliation.
Do not emit fabricated spans merely to satisfy the expected stage list. Do not create a live adapter, network dependency or production route without explicit expanded approval.
7.6 Exporter and collector boundary
The tracker records:
OTEL_SERVICE_NAME=enterprise-ai-api as a non-secret, low-cardinality placeholder;
OTEL_EXPORTER_OTLP_ENDPOINT=http://localhost:4317 as a local placeholder requiring TLS/private routing outside local;
local collector/Jaeger configuration as an expected W4-003 output;
CloudWatch/X-Ray and Prometheus/Grafana/Jaeger operational deployment under W6-06.
Gate 1 must not treat the placeholder endpoint as approved runtime activity. Recommend:
deterministic in-memory exporter/reader for ordinary owner tests;
explicit default-off network export;
no implicit endpoint contact;
no collector or Jaeger process during ordinary tests;
config-only local collector path only if an exact repository path, immutable image identity, bind/exposure policy, cache/provenance boundary and teardown plan are owner-approved;
actual local collector/Jaeger execution only under a separate owner runtime approval.
7.7 Reliability and lifecycle
Telemetry work must be bounded and cancellable. Gate 1 must analyze synchronous versus batch processing, queue size, flush/shutdown deadline, exporter timeout, retry count, drop behavior and task/thread cleanup.
Exporter failure must be observable through a safe bounded signal but must not:
fail an otherwise valid request;
convert a denial into an allowed action;
cause a retry of RAG, provider or tool work;
hold capacity indefinitely;
leak raw exceptions;
leave a thread, task, socket, file, cache, collector or container residue.
8. Included scope
Subject to exact Gate 1 impact analysis and later Column L approval, W4-003 may include:
a vendor-neutral telemetry module and strict schemas;
OpenTelemetry initialization/configuration behind safe defaults;
instrumentation of approved API, authorization, RAG, retrieval, embedding, LLM, guardrail, agent, approval and tool boundaries;
structured redacted metadata logs correlated to spans;
deterministic clocks/readers/exporters and synthetic sentinels for tests;
unit, contract, integration, feature, security, rollback and teardown tests;
configuration and example-environment values required for default-off local behavior;
feature-matrix/validator synchronization if the current repository contract requires a W4-003 feature entry;
an exact local collector configuration file only if owner-approved after Gate 1.
9. Explicit exclusions
Unless separately approved, exclude:
CloudWatch, X-Ray, Prometheus, Grafana, Jaeger or external OpenTelemetry Collector execution;
network export during ordinary tests;
AWS, Docker, registry, Kubernetes, EKS, deployment and cloud lifecycle activity;
LangSmith or another managed APM;
live Bedrock/model, Qdrant/OpenSearch, identity-provider or approval-service integration;
production alert destinations, paging, on-call routing, dashboards, SLOs, retention backends and incident tooling;
raw prompt/document/answer/evidence/tool content export;
sampling, tail-based processing or high-volume production tuning not required by deterministic local proof;
changes to W3/W4 business-result schemas or security decisions merely to simplify telemetry;
W4-09 and W4-10 implementation inside the initial W4-003 Column L manifest;
documentation/evidence, Excel and Git mutation during Column L;
production readiness, capacity, latency or cost claims.
10. Downstream closure sequencing — ownership must not change
W4-09
Original prompt/feature owner: W4-002 / AGENT-001.
Dependency: W4-05 through W4-08.
Current status: NOT RUN.
Dedicated test: tests/feature/test_agent_failures.py plus the approved security scope.
Canonical evidence: docs/test-evidence/W4-09-failures.txt.
Required behavior: denial, malformed arguments, injection, timeout, loop/budget exhaustion and rejection terminate safely with no write side effect; redacted audit/trace records contain safe terminal reasons.
Execution rule: after W4-08 is implemented and owner-approved, request a separate exact W4-09 Code Edit/Execution Approval. Do not create its evidence until actual owner results exist.
The Test Evidence sheet currently contains the older path docs/test-evidence/W4-agent-failures.txt. Preserve the previously approved canonical path docs/test-evidence/W4-09-failures.txt and report the tracker-row reconciliation for later owner update; do not create both.
W4-10
Original prompt/feature owner: W4-001 / API-001.
Dependency: W4-01 and W4-06, now final-approved.
Current status: NOT RUN.
Dedicated test: tests/feature/test_api_load_smoke.py.
Canonical evidence: docs/test-evidence/W4-10-load.json.
Approved planning profile from earlier owner decisions: in-process ASGI; deterministic dependencies; 20 warm-up requests per level; 200 measured requests per level; concurrency 1, 4 and 8; maximum 30 seconds; nearest-rank p50/p95/p99; success, safe-error, overload, total and duration counts; redacted output; zero residue.
Execution rule: request a separate exact W4-10 Code Edit/Execution Approval. Do not include it in W4-003 feature ownership and do not treat local results as a production SLO or capacity claim.
11. Mandatory Gate 1 read-only response
Return all sections below in this order.
11.1 Business outcome and measurable acceptance
Explain the business problem, beneficiaries, architecture position, included/excluded scope, success criteria, privacy, reliability, cost and operational acceptance. Distinguish W3-09, W4-08, W4-09 and W4-10 ownership and evidence.
11.2 Governing baseline and completed-prerequisite reconciliation
Report:
current full Git HEAD and branch;
tracked/untracked status, excluding Excel workbook/lock from blocking classification;
current hashes of the Source of Truth, W3-002 baseline and governing final-approved evidence;
exact W4-001 and W4-002 completion facts;
exact status of W3-09, W4-08, W4-09 and W4-10;
installed and declared Python/OpenTelemetry/logging/test dependencies without installation or network access;
missing ADR/evidence/configuration paths and whether they block code or later documentation;
current caches, telemetry endpoints, services, containers and runtime residue, if any.
11.3 Producer-consumer impact matrix
For every proposed interface, function, class, schema, field, constant, metric, span, event, logger, environment variable, feature record, path and dependency, list:
producer/definition;
imports, callers and constructors;
validators and redaction boundary;
serializers/exporters/readers;
fixtures and duplicated constants;
unit/contract/integration/feature/security/rollback/teardown consumers;
CLI/build/deployment/documentation/evidence consumers;
required change or evidence-based reason unchanged.
Search the exact repository. Do not infer filenames.
11.4 Function, connection and trust map
Map API/query/agent entry points through authorization, RAG, retrieval, embedding, LLM, guardrail, approval and tools. Show where request, trace and span IDs are created and propagated; where metrics/logs are emitted; where redaction occurs; and where exporter failure is isolated.
Enumerate all local calls, files, tasks, threads, sockets, network/service edges, authentication/authorization decisions, timeouts, retries, cancellation and cleanup. State N/A only with evidence.
11.5 Schema, cardinality and redaction analysis
Propose exact metric/span/log names, types, units and allowed attributes. Classify cardinality. Show positive and negative examples using synthetic values. Prove missing, malformed, duplicate, unexpected, reordered, unbounded and sensitive fields fail safely.
11.6 Dependency and runtime API analysis
Inspect pyproject.toml, requirement/lock files and the approved environment. Report exact compatible APIs, optional packages, deprecated/renamed methods, lazy loading, offline behavior and package provenance. Do not install or upgrade. Do not broaden configured Ruff, MyPy or Pytest scopes by guesswork.
11.7 Concurrency, cancellation and exporter-failure analysis
Compare synchronous and batch processing; recommend exact queue, timeout, retry, flush, shutdown and drop behavior. Trace event-loop/thread boundaries and prove telemetry failure cannot change business/security outcomes or leave residue.
11.8 Exact proposed Column L boundary
Return repository-relative manifests under:
CREATE;
UPDATE;
DELETE;
VERIFIED UNCHANGED CONSUMERS;
DEFERRED;
EXCLUDED.
Each editable path must name exact symbols or sections and its purpose. No wildcard, directory-only or placeholder path is acceptable. Reconcile counts exactly. Do not include W4-09/W4-10 tests or evidence in the initial W4-003 manifest.
11.9 Complete automated-test design
List exact tests and scenarios for:
telemetry unit contracts;
metric accuracy and cardinality;
trace correlation;
structured log correlation;
redaction and sentinel absence;
authentication/authorization denial before work;
abstention and safe errors;
approval/tool telemetry without content;
exporter failure isolation;
deadline/cancellation/concurrency cleanup;
feature disable/rollback;
teardown and zero residue;
protected W3/W4 regressions;
full ordinary suite.
Distinguish deterministic in-memory tests, config-only validation and separately approved runtime integration. Do not weaken existing assertions.
11.10 Owner TEST-001 execution guide — planned only
Plan cache-safe, one-at-a-time owner commands derived from actual repository configuration. For each command provide purpose, prerequisites, expected result, access/network/privacy/cost risk, evidence and stop condition.
The planned order should normally cover:
Interpreter and declared/runtime dependency inspection.
Ruff on exact approved changed Python paths.
strict MyPy under repository configuration.
W3-09 telemetry unit/contract/security tests.
W4-08 trace-correlation and redaction tests.
changed direct and indirect consumer regressions.
W4-001/W4-002 protected regression tests.
full ordinary suite.
platform/feature validation.
telemetry-disable rollback and exporter-failure checks.
teardown, zero-residue and final path-boundary verification.
Do not issue or run these commands at Gate 1. W4-09 and W4-10 retain separate approval/execution sequences after their prerequisites.
11.11 Security, privacy, cost and lifecycle impact
Cover least privilege, identity separation, tenant isolation, data classification, PII/content exclusion, secrets, provenance, residency, retention, local CPU/memory/disk, possible network/export cost, deployment blast radius, rollback, cleanup, teardown and retained resources. Do not state USD 0 for owner time or infrastructure unless proven.
11.12 Consolidated owner decisions
Ask once for every unresolved value. At minimum reconcile:
Current baseline HEAD, tracked implementation state and governing hashes.
W3-09/W4-08 sequencing: preserve separate traceable work packages and evidence while permitting one bounded current W4-003 implementation cycle only if the exact manifest and rollback remain coherent.
Exact telemetry feature ownership and feature-matrix status/linked steps.
Exact OpenTelemetry packages and version bounds, if absent or changed.
Metric, span, structured-log and safe-error schema.
Attribute allowlist, cardinality rules and synthetic redaction sentinels.
Trace-context trust policy and server request-ID correlation.
In-memory test exporter/reader and default-off OTLP network policy.
Local collector configuration path and whether its runtime execution is deferred.
Exporter queue, timeout, retry, drop, flush and shutdown limits.
Exporter-failure behavior and safe diagnostic signal.
Honest one-trace test composition without activating the deferred live AgentEvidenceGateway/RAG adapter.
W4-09 separate closure after W4-08, retaining AGENT-001 ownership and canonical evidence path.
W4-10 separate closure, retaining API-001 ownership and the approved local profile.
ADR-008 and later Column M document/evidence scope.
Python 3.11 compatibility timing, accepted local-runtime warnings and deferred production/cloud proof.
For each decision provide the exact question, recommendation, alternative, trade-off and gate impact. Do not request Column L until all edit-blocking decisions and the complete producer-consumer manifest are resolved.
12. Gate 2 and Column L rules
After the owner resolves Gate 1 decisions, perform a separate read-only Gate 2 revalidation:
re-read current HEAD and relevant status;
re-read every proposed editable and verified-unchanged path;
verify patch contexts, dependencies, consumers and exact path counts;
revalidate protected baseline/evidence hashes;
confirm no path drift or conflicting owner fact;
keep Excel/workbook lock non-blocking and excluded.
Gate 2 still does not authorize editing.
Column L requires a separate exact owner Code Edit Approval containing:
current baseline identity;
complete CREATE/UPDATE/DELETE/VERIFIED UNCHANGED/DEFERRED/EXCLUDED manifest;
exact approved decisions;
no documentation/evidence/Excel/Git mutation;
no test, exporter, collector, network, Docker, model, cloud or deployment execution;
stop-on-drift and stop-on-unapproved-path rules.
Codex writes only the approved code, configuration and automated-test code. The owner performs all execution and supplies complete results.
13. Failure and remediation rules
For every owner-executed command, classify the result as PASS, FAIL, NOT RUN or INDETERMINATE.
On FAIL or INDETERMINATE:
Stop the ordered sequence.
Preserve the exact output.
Perform a complete read-only root-cause and producer-consumer audit.
Record every impacted path and historical result.
Request one consolidated bounded remediation approval.
Do not edit or rerun automatically.
After approved remediation, the owner reruns the failed command and all affected downstream checks. Historical failures remain in later evidence.
14. Column M and Column N boundaries
Documentation/evidence is not authorized by the Main Prompt or Column L.
After owner testing, prepare a separate exact Column M manifest based on actual results. Likely tracker-governed evidence includes:
aggregate W4-003 implementation/evidence record if that task pattern is continued;
docs/test-evidence/W3-09-telemetry.txt;
docs/test-evidence/W4-08-trace.json;
docs/adr/ADR-008-otel.md if absent and separately approved;
docs/test-evidence/README.md update;
exact architecture/operations documents only if discovered in governing records and owner-approved.
Do not create W4-09 or W4-10 evidence until those dedicated owner executions occur. Their evidence may be added through their own approved Column M scope after actual results exist.
Column N must later close every document in the exact Column M manifest with owner-supplied reviewer, role, decision, timestamp/timezone, warnings, risks, PASS/FAIL/NOT RUN/INDETERMINATE facts, deferrals, deployment, rollback, teardown, residual resources and conditions. The owner alone updates Excel and controls Git.
15. Learning and interview outcome
The owner should be able to explain:
why observability is part of the application contract, not merely a dashboard;
how traces, metrics and structured logs differ and correlate;
why low-cardinality attributes matter;
why redaction must happen before buffering/export;
why telemetry failure must not break the business or security path;
how local in-memory proof differs from CloudWatch/X-Ray/Prometheus/Grafana production operations;
how W4-08 enables honest W4-09 failure evidence;
why W4-10 local measurements are not production SLOs;
how disabling export rolls back instrumentation risk while preserving the core service.
Layman analogy: install and test a flight recorder that stores instrument readings and safe event codes, not passenger conversations. Cloud dashboards and alerting systems are connected later.
16. Initial execution instruction
When this Main Prompt is first invoked:
perform Gate 1 only;
make no repository or external mutation;
do not run tests, applications or integrations;
return all twelve mandatory Gate 1 sections;
finish with one consolidated owner-decision table;
do not provide or activate Column L.
If a prerequisite, source, evidence fact or baseline is genuinely conflicting, end with:
BLOCKED — &lt;EXACT REASON&gt; — W4-003.
Otherwise end exactly:
READY FOR PRE-EDIT REVIEW — W4-003.</t>
  </si>
  <si>
    <t>READY FOR PRE-EDIT REVIEW — W4-003</t>
  </si>
  <si>
    <t>W3-09, W4-08</t>
  </si>
  <si>
    <t>FINAL COLUMN L — EXACT CODE EDIT APPROVAL — W4-003
1. Approval identity
Prompt ID: W4-003-COLUMN-L-001.
Feature/outcome: Application telemetry and redacted audit trail.
Covered tracker steps: W3-09 and W4-08 only.
Business purpose: Make the approved API, RAG and agent stages operationally explainable through vendor-neutral, redacted and bounded telemetry without exporting protected business content.
This is the exact bounded owner Code Edit Approval following completed Gate 1 decisions, Gate 2 revalidation and the approved complete-impact manifest correction.
2. Baseline binding
This approval is bound to:
Repository: E:\AI\enterprise_ai_platform
HEAD: d89fa573e0e981c43397c0d3ce5499ecf1f6f826
Branch: main
Tracked status at Gate 2: clean
Untracked status at Gate 2: clean
CREATE targets: 12 of 12 absent
UPDATE targets: 20 of 20 present and patch-context ready
DELETE targets: 0
VERIFIED UNCHANGED consumers: 83 of 83 present and re-read
W4-09 and W4-10 implementation/evidence paths: absent and excluded
Protected SHA-256 values:
Source of Truth: d4ce5c6d2cbba3704e8f7f385edeb16573cf21e009b1bf7e87914bace03fb04f
Coaching Blueprint: a46596aed881d0c6a7804ff332013a7e72f465be11810b6be8ac1c103380f59d
W3-002 immutable baseline: 4bbc8f24af911ba09356196e9285d261549926c713110f9549929e1e4ac9086f
W3 learning review: be120b416291652670ff5d8e196932b08a7e1b6df8d1b933df4c0fd6eef91361
W4-001 aggregate evidence: 477214dc14287f7164b54820d012efcba05d5fc48f5d12f0b88729164606df59
W4-002 aggregate evidence: e47c4b8cb9addbd150c64f8d6923001485b2d5fe0b715446b32353c4781cfb5f
Immediately before the first edit, re-read HEAD, tracked/untracked status, all 32 editable paths, all 83 VERIFIED UNCHANGED paths and every approved patch context. Revalidate the protected hashes. An Excel process, workbook state or ~$ lock file is owner-controlled, non-blocking and excluded.
If HEAD, a protected hash, path classification, patch context or material producer/consumer fact has changed, do not edit. End exactly:
BLOCKED — BASELINE CHANGED — W4-003.
3. Authority granted and prohibited activity
Codex is authorized to create or update only the 32 paths enumerated under CREATE and UPDATE below, implementing only the approved W3-09/W4-08 contracts.
Codex must not:
run Python, tests, Ruff, MyPy, validators, formatters, builds or applications;
install, uninstall, upgrade or download a dependency;
execute or contact an OTLP exporter or collector;
start Docker, Jaeger, Prometheus, Grafana, CloudWatch, X-Ray or any service;
use Qdrant, OpenSearch, Bedrock, another model/provider, IdP, approval service, registry, AWS, EKS, Kubernetes or external network;
create documentation or evidence;
implement or execute W4-09 or W4-10;
edit Excel, stage/commit/push Git or mutate external state;
weaken existing schemas, authorization, guardrails, budgets, approval, rollback, cleanliness or test assertions;
modify any path not listed under CREATE or UPDATE.
Code writing and static configuration/test-code authoring are authorized. Execution remains owner-only under TEST-001.
4. Approved architecture and implementation contract
4.1 Scope and ownership
Create feature OBS-001, status In Progress, after the existing Week 4 features in the repository-approved exact order.
Link exactly W3-09 and W4-08.
The feature owns the 32 editable paths in CREATE order followed by UPDATE order, without duplicates.
W4-09 remains owned by AGENT-001/W4-002 and remains NOT RUN.
W4-10 remains owned by API-001/W4-001 and remains NOT RUN.
4.2 Telemetry boundary
Implement a narrow application-facing TelemetryRuntime protocol with null and explicit OpenTelemetry implementations. Business components may submit only normalized enums, safe codes, bounded version identifiers, numeric counts and durations. Raw business/domain objects are not accepted.
The default application composition must be offline and side-effect-free through NullTelemetryRuntime. OpenTelemetry providers/readers/exporters are created only through explicit approved composition or injected deterministic tests.
Use manual ASGI/request instrumentation. Do not use FastAPI auto-instrumentation. Ignore inbound traceparent, tracestate, baggage, X-Request-ID, X-Correlation-ID and X-Forwarded-* identifiers. Preserve the existing server-generated UUIDv4 request ID contract and create a new local root trace per request scenario.
4.3 W4-08 trace acceptance
Implement and test this reconciled acceptance exactly:
One trace is created per request scenario. The deterministic trace set consists of query, agent-start and agent-decision scenarios and collectively covers every required API, authorization, guardrail, retrieval, embedding, LLM, RAG, graph, approval and tool stage. No fabricated span or live AgentEvidenceGateway/RAG adapter is used.
Do not create a production Agent-to-RAG adapter. Use approved real local component composition with deterministic fake dependencies. Every span must correspond to an actual invoked component or stage.
4.4 Metrics
Implement these exact instruments:
enterprise_ai.stage.executions — Counter, unit {execution}
enterprise_ai.stage.duration — Histogram, unit s
enterprise_ai.usage.tokens — Counter, unit {token}
enterprise_ai.retrieval.results — Histogram, unit {item}
enterprise_ai.agent.steps — Histogram, unit {step}
enterprise_ai.agent.tool.calls — Counter, unit {call}
enterprise_ai.telemetry.export.failures — Counter, unit {failure}
enterprise_ai.telemetry.dropped — Counter, unit {item}
Metric labels may contain only finite approved values: stage, operation, outcome, terminal reason, safe error code, token type, signal, drop reason and approved bounded prompt/graph/retriever/model/tool version identifiers.
Request, trace, span, tenant, subject, approval, run, query, source, document and chunk identifiers; exception text; stack traces; content-derived strings; tool arguments/results and arbitrary free text are prohibited as metric labels.
Tests must enforce a finite upper bound derived from the approved instruments, enums and allowlisted attributes. Do not claim a 512-point metrics exporter capacity.
4.5 Spans, events and structured logs
Use the approved exact span names from the Gate 1 contract, including API, authentication, authorization, guardrail, RAG, retrieval, embedding, vector search, LLM, agent/controller nodes, approval and tool execution.
Allowed event names are exactly:
stage.completed
security.decision
approval.decision
telemetry.export_failure
telemetry.record_dropped
Structured logs use schema version w4-003.telemetry.v1 and only these fields:
schema version;
timestamp in Unix nanoseconds;
event name;
service name;
server-generated request ID;
trace ID and span ID;
stage, operation and outcome;
optional finite terminal reason;
optional allowlisted safe error code;
optional duration in milliseconds;
numeric token, result, step and tool-call counts;
approved bounded version identifiers.
Request ID, trace ID and span ID are permitted only in traces/logs, never metric labels.
4.6 Redaction and strict schemas
Implement strict immutable extra="forbid" schemas and a positive attribute/event allowlist before any OpenTelemetry processor, buffer, reader, log sink or exporter receives the observation.
Never emit or retain:
raw prompt/query or answer;
retrieved document/evidence/chunk text;
source/document/chunk identifiers;
tenant, subject, approval or run identifiers;
tool arguments or tool results;
credentials, secrets or PII;
provider envelopes;
exception messages or stack traces;
chain-of-thought or internal reasoning.
Use exactly these artificial security sentinels in automated-test code:
PROMPT_SECRET_W4_003
ANSWER_PII_W4_003
EVIDENCE_TOKEN_W4_003
TOOL_ARGUMENT_W4_003
CREDENTIAL_W4_003
EXCEPTION_DETAIL_W4_003
Tests must prove absence from spans, events, metrics, logs, exporter failures and bounded buffers. The strings are synthetic and contain no real protected data.
4.7 Resource attributes
Create the resource directly from an explicit allowlist. Do not use automatic environment/process resource detectors.
Populate dynamically:
service.name from validated telemetry service configuration;
service.version from enterprise_ai_platform.__version__;
deployment.environment.name from validated Settings.environment, whose current environment-variable boundary is ENTERPRISE_AI_ENVIRONMENT.
Do not duplicate sandbox or 0.1.0 as telemetry-specific hard-coded literals.
4.8 Dependencies
In requirements.txt, declare exactly:
opentelemetry-api&gt;=1.44,&lt;1.45
opentelemetry-sdk&gt;=1.44,&lt;1.45
Remove opentelemetry-instrumentation-fastapi from the declared runtime dependency contract and dependency-test expectation. Do not uninstall the currently installed owner-managed package and do not add an OTLP exporter dependency.
Use lazy application composition so the default null runtime remains import-safe, offline and side-effect-free.
4.9 Bounded application runtime
Implement:
BoundedInMemorySpanExporter: capacity exactly 512 spans;
BoundedInMemoryLogSink: capacity exactly 512 records;
overflow: drop oldest;
safe drop-counter increment;
application telemetry queue capacity: 0;
retry count: 0;
background tasks/threads: 0;
flush deadline: 1.0 second;
shutdown deadline: 1.0 second;
file/socket spill: prohibited.
Use synchronous simple processing behind a safe exporter wrapper. Normalize exporter failures to a finite safe code, increment the safe failure signal when possible and preserve the exact business/security outcome. Never let telemetry trigger RAG, retrieval, provider, graph, approval or tool retry.
Cancellation must propagate. A finalizer may record a finite cancelled outcome, but must re-raise CancelledError and start no replacement work.
The application owns one runtime that it creates and closes once through lifespan. Externally injected runtimes require explicit ownership semantics so they are not double-shut down.
4.10 Collector configuration — config only
Create configs/observability/otel-collector.local.yaml with this exact semantic structure:
receivers:
  otlp:
    protocols:
      grpc:
        endpoint: 127.0.0.1:4317
      http:
        endpoint: 127.0.0.1:4318
processors:
  batch:
    timeout: 1s
    send_batch_size: 64
    send_batch_max_size: 64
exporters:
  debug: {}
service:
  pipelines:
    traces:
      receivers: [otlp]
      processors: [batch]
      exporters: [debug]
    metrics:
      receivers: [otlp]
      processors: [batch]
      exporters: [debug]
    logs:
      receivers: [otlp]
      processors: [batch]
      exporters: [debug]
No memory_limiter processor is permitted. No exporter sending queue is permitted. No additional receiver/listener, processor, exporter, extension, environment substitution, credential, secret or external destination is permitted.
The application must not contact this collector under default settings or ordinary tests. Static YAML/security test code may validate the exact contract. Collector execution, immutable image selection, runtime/schema compatibility and operational teardown remain NOT RUN and deferred.
4.11 Configuration and rollback
Add strict safe-default telemetry settings using the repository’s established settings prefix and validation conventions. Default telemetry is disabled. No active OTLP endpoint is published in .env.example; the tracker’s http://localhost:4317 value remains planning context only.
Settings must bound service-name length, capacities, flush/shutdown timeouts and any approved enum. Reject unsafe endpoints, negative/non-finite values, unknown modes and unexpected configuration.
Disabling telemetry must restore the exact W4-001/W4-002 business behavior. It must not disable authorization, guardrails, RAG, agent budgets, approval or tool restrictions.
5. Exact editable manifest
CREATE — exactly 12
configs/observability/otel-collector.local.yaml
src/enterprise_ai_platform/telemetry/__init__.py
src/enterprise_ai_platform/telemetry/models.py
src/enterprise_ai_platform/telemetry/runtime.py
tests/fakes/telemetry.py
tests/unit/test_telemetry.py
tests/contract/test_telemetry_schema.py
tests/integration/test_telemetry_composition.py
tests/feature/test_trace_correlation.py
tests/security/test_telemetry_redaction.py
tests/rollback/test_w4_003_telemetry_rollback.py
tests/teardown/test_w4_003_telemetry_cleanliness.py
UPDATE — exactly 20
.env.example
feature-matrix.yaml
requirements.txt
src/enterprise_ai_platform/config.py
src/enterprise_ai_platform/app.py
src/enterprise_ai_platform/api/runtime.py
src/enterprise_ai_platform/api/routes.py
src/enterprise_ai_platform/rag/service.py
src/enterprise_ai_platform/retrieval/service.py
src/enterprise_ai_platform/agent/graph.py
src/enterprise_ai_platform/agent/controller.py
tools/platformctl/validate.py
tests/conftest.py
tests/unit/test_config.py
tests/security/test_configuration_security.py
tests/unit/test_platformctl.py
tests/feature/test_feature_matrix.py
tests/feature/test_w2_002_embedder_contract.py
tests/feature/test_w2_003_ingestion_contract.py
tests/integration/test_dependency_contract.py
DELETE — exactly 0
None.
Editable-manifest reconciliation: 12 CREATE, 20 UPDATE, 0 DELETE; exactly 32 editable paths.
6. Exact implementation purpose by path
Collector YAML: exact config-only loopback/debug contract; no execution.
telemetry/__init__.py: explicit public telemetry exports only.
telemetry/models.py: finite enums, strict schemas, metric/span/event names, allowlists and schema version.
telemetry/runtime.py: runtime protocol, null/OpenTelemetry implementations, scope/finalization, bounded span exporter/log sink, safe failure normalization, embedding-recorder adapter and deterministic in-memory composition.
Telemetry fake: deterministic clock/readers/failing exporter and sentinel producer.
Telemetry unit/contract/integration/feature/security tests: exact W3-09/W4-08 functionality, honest trace scenarios, schemas, cardinality, redaction and failure isolation.
Rollback/teardown tests: default-off equivalence, safe shutdown and zero unexpected residue.
.env.example and configuration: strict default-off non-secret local settings without an active endpoint.
Feature matrix/validator and tests: exact OBS-001 ownership and complete path contract.
Requirements/dependency test: approved API/SDK bounds and removal of unused FastAPI instrumentation declaration.
App/API/RAG/retrieval/agent paths: optional null-default instrumentation at actual business stages without changing public business/result schemas.
Shared fixtures/configuration/security tests: deterministic telemetry composition and safe-setting bounds.
W2 feature tests: synchronize the exact feature inventory without weakening protected W2 assertions.
7. VERIFIED UNCHANGED — exactly 83
The following paths were re-read at Gate 2 and must remain unchanged.
Original 59
pyproject.toml
requirements-dev.txt
src/enterprise_ai_platform/api/dependencies.py
src/enterprise_ai_platform/api/models.py
src/enterprise_ai_platform/api/errors.py
src/enterprise_ai_platform/agent/models.py
src/enterprise_ai_platform/agent/contracts.py
src/enterprise_ai_platform/agent/authorization.py
src/enterprise_ai_platform/agent/runtime.py
src/enterprise_ai_platform/agent/persistence.py
src/enterprise_ai_platform/agent/serialization.py
src/enterprise_ai_platform/agent/tools.py
src/enterprise_ai_platform/rag/models.py
src/enterprise_ai_platform/rag/config.py
src/enterprise_ai_platform/rag/prompt.py
src/enterprise_ai_platform/rag/errors.py
src/enterprise_ai_platform/retrieval/models.py
src/enterprise_ai_platform/retrieval/authorization.py
src/enterprise_ai_platform/retrieval/vector_store.py
src/enterprise_ai_platform/retrieval/adapters/fake.py
src/enterprise_ai_platform/retrieval/adapters/qdrant.py
src/enterprise_ai_platform/retrieval/adapters/opensearch.py
src/enterprise_ai_platform/embeddings/base.py
src/enterprise_ai_platform/embeddings/fake.py
src/enterprise_ai_platform/embeddings/sentence_transformer.py
src/enterprise_ai_platform/embeddings/errors.py
src/enterprise_ai_platform/llm/models.py
src/enterprise_ai_platform/llm/provider.py
src/enterprise_ai_platform/llm/fake.py
src/enterprise_ai_platform/llm/bedrock.py
src/enterprise_ai_platform/llm/errors.py
src/enterprise_ai_platform/guardrails/models.py
src/enterprise_ai_platform/guardrails/policy.py
src/enterprise_ai_platform/guardrails/adapter.py
src/enterprise_ai_platform/guardrails/errors.py
tests/unit/test_app.py
tests/unit/test_api.py
tests/contract/test_api_schema.py
tests/integration/test_api_dependency_composition.py
tests/integration/test_agent_api_composition.py
tests/security/test_api_authorization.py
tests/security/test_agent_approval.py
tests/security/test_agent_state_redaction.py
tests/rollback/test_w4_001_api_rollback.py
tests/rollback/test_w4_002_agent_rollback.py
tests/teardown/test_w4_001_api_cleanliness.py
tests/teardown/test_w4_002_agent_cleanliness.py
tests/feature/test_health_contract.py
tests/unit/test_rag_pipeline.py
tests/unit/test_retrieval_service.py
tests/unit/test_embedder.py
tests/integration/test_sentence_transformer_embedder.py
tests/feature/test_w3_001_cited_rag.py
tests/feature/test_w3_003_guardrails.py
tests/security/test_w3_001_cited_rag_security.py
tests/security/test_w3_003_guardrails_security.py
tests/security/test_w3_004_rag_rollback_security.py
tests/feature/test_mvp_001_mapping.py
tests/feature/test_mvp_001_platformctl.py
Approved manifest correction — additional 24
src/enterprise_ai_platform/__init__.py
src/enterprise_ai_platform/api/__init__.py
src/enterprise_ai_platform/embeddings/__init__.py
src/enterprise_ai_platform/evaluation/evaluator.py
src/enterprise_ai_platform/llm/factory.py
src/enterprise_ai_platform/rag/__init__.py
src/enterprise_ai_platform/retrieval/__init__.py
tests/contract/test_guardrail_contract.py
tests/contract/test_retrieval_service.py
tests/feature/test_local_retrieval.py
tests/integration/test_bedrock.py
tests/integration/test_guardrail_composition.py
tests/rollback/test_w3_001_rag_rollback.py
tests/rollback/test_w3_003_guardrails_rollback.py
tests/security/test_repository_security.py
tests/security/test_w2_004_retrieval_security.py
tests/security/test_w3_002_evaluation_security.py
tests/teardown/test_w2_004_retrieval_cleanliness.py
tests/teardown/test_w3_001_rag_cleanliness.py
tests/unit/test_agent_budgets.py
tests/unit/test_agent_graph.py
tests/unit/test_llm_provider.py
tools/platformctl/cli.py
tools/verify_w2_004_local.py
These remain unchanged because telemetry constructor arguments are optional and null-default; public business/result/security schemas stay authoritative; platform CLI consumers use centrally updated feature constants; provider/local-retrieval behavior is not modified; and no live AgentEvidenceGateway adapter is introduced.
8. DEFERRED
docs/test-evidence/W4-003.md, subject to later exact Column M approval.
docs/test-evidence/W3-09-telemetry.txt.
docs/test-evidence/W4-08-trace.json.
docs/adr/ADR-008-otel.md.
docs/test-evidence/README.md and any architecture/security/operations/cost/rollback/learning documentation.
tests/feature/test_agent_failures.py and docs/test-evidence/W4-09-failures.txt.
tests/feature/test_api_load_smoke.py and docs/test-evidence/W4-10-load.json.
Collector execution, immutable collector image/version selection, runtime/schema compatibility and operational teardown.
Jaeger, OTLP exporter package/network mode, CloudWatch, X-Ray, Prometheus, Grafana, dashboards, alerts, SLOs and production retention.
Python 3.11 execution.
Real identity, provider/model, vector-store, approval-service, network/cloud and deployment proof.
W6-06 operational observability platform.
9. EXCLUDED
Every path not enumerated under CREATE or UPDATE.
docs/test-evidence/W4-agent-failures.txt, the stale duplicate evidence path.
W4-09/W4-10 ownership transfer, implementation, execution or evidence.
Application business-result, API-response, authorization, guardrail, approval or tool-policy changes.
Raw content, identity or tool-data export.
Excel and Git mutation.
Dependency installation/uninstallation.
Docker, registry, collector/service startup, network, provider/model, AWS, EKS/Kubernetes, deployment, rollback execution and teardown execution.
Production monitoring, performance, capacity, SLO, residency, retention and cost claims.
10. Automated-test code requirements
Author deterministic automated tests that will later allow the owner to verify:
null runtime and strict schema behavior;
exact metric/span/event names and units;
correct stage, duration, retrieval, token, step and tool-call measurements without double counting;
finite metric-series/cardinality enforcement;
query, agent-start and agent-decision trace scenarios with actual invoked spans;
request/trace/span correlation in safe structured logs;
rejection of missing, extra, malformed, unknown, non-finite, negative, overlength and sensitive observations;
all six synthetic sentinels absent from captured telemetry and buffers;
authorization denial occurs before zero downstream business calls;
safe abstention/error, approval and tool outcomes without raw content;
exporter/schema/log-sink failure preserves the exact business/security outcome;
cancellation propagation and no replacement work;
fixed capacities, drop-oldest and safe drop count;
one owned flush/shutdown and no double shutdown;
exact collector YAML structure, loopback listeners, numeric batch limits and absence of forbidden sections/destinations;
telemetry_enabled=false preserves W4-001/W4-002 behavior;
zero unexpected task, thread, socket, file, cache or telemetry residue;
protected W2/W3/W4 feature and dependency consumers remain valid.
Do not add a permanently skipped W4-09/W4-10 placeholder or weaken an existing assertion.
11. Stop and remediation rules
If an approved patch context no longer matches or an implementation requires another path, dependency, schema change, network behavior or owner decision:
Stop before modifying that path or expanding scope.
Preserve completed approved edits.
Report the exact mismatch and producer/consumer impact.
Request one bounded owner remediation/manifest approval.
Do not guess an anchor, create a shadow file/test or reconstruct content from memory.
Codex may not self-test or self-remediate under this approval.
12. Required completion response
After code writing, return:
Business outcome in simple terms.
Exact created/updated/deleted path manifest and counts.
Confirmation that all 83 VERIFIED UNCHANGED paths were not modified.
Key implementation decisions and security/privacy controls.
Any warning, limitation, deferred item or unresolved risk.
Exact owner TEST-001 guidance, one planned command at a time, beginning with baseline/version inspection and continuing through Ruff, strict MyPy, W3-09, W4-08, changed consumers, protected regressions, full suite, platform validation, rollback, teardown, whitespace and final path-boundary checks.
Explicit statement that no command was executed and no documentation/evidence, Excel, Git, network, collector, model, cloud, deployment, rollback or teardown mutation occurred.
Classify implementation completion separately from testing. Do not claim PASS before owner results.
End exactly:
CODE WRITING COMPLETE — OWNER TESTING REQUIRED — W4-003.</t>
  </si>
  <si>
    <t>RENEWED COLUMN M CONTINUATION APPROVAL — W4-003/W4-09/W4-10
1. Approval identity
Approval ID: W4-003-W4-09-W4-10-COLUMN-M-CONTINUATION-002
The owner renews the previously approved exact Column M document-writing authorization after successful closure of the sole trace-observation blocker.
This continuation supplements and reactivates:
COLUMN_M_W4-003_W4-09_W4-10_DOCUMENT_WRITING_APPROVAL.md
approved SHA-256: 57ab52235b968341aa53890ecfcf68059785d422534bf4f2eb034dbeca571681
It does not replace, reduce or expand that prompt.
2. Closed blocker
The earlier Column M preflight correctly blocked because the owner transcript did not contain exact W4-08 span counts, span-name multiplicities or trace hierarchy.
The separately approved bounded remediation updated only:
tests/feature/test_trace_correlation.py
The owner has now supplied these final remediation facts:
Scoped Ruff: PASS.
Original combined W4-08 scope: PASS — six tests total, comprising one feature trace test and five unchanged integration telemetry-composition tests.
Observation output: exactly one valid redacted W4_08_TRACE_OBSERVATION= JSON line.
Hierarchy/count mathematical reconciliation: PASS.
Sentinel and raw-identifier exclusion: PASS.
Patch integrity: PASS, exit code 0.
Final path boundary: PASS.
Accepted warning: repeated Starlette/httpx deprecation warning.
Open FAIL results: none.
Open INDETERMINATE results: none.
Documentation/evidence: NOT WRITTEN.
Network, provider, collector and cloud activity: none.
Provider/cloud cost: USD 0.
The final worktree contains only the approved W4-003 implementation/test boundary, approved W4-09/W4-10 test boundary, approved trace-reporting test modification and owner-controlled Excel workbook/lock. Excel remains non-blocking and excluded.
3. Exact observation authority
Use the exact W4_08_TRACE_OBSERVATION= JSON line from the owner-executed remediation transcript as the authoritative source for:
exact span count per scenario trace;
exact span-name multiplicities;
root span counts and names;
parent/child edges and multiplicities;
maximum hierarchy depth;
parent resolution and same-trace integrity;
expected span-name presence;
redaction result.
Do not rerun the test, recompute the observation from code, infer values from assertions or replace observed values with planned values.
Before writing, validate read-only that:
exactly one observation line exists in the owner transcript;
its JSON parses strictly;
schema_version is w4-008.trace-observation.v1;
scope is local_deterministic_in_process;
scenario_count and total_trace_count are both 3;
scenarios are exactly query, agent_start, agent_decision, in that order;
for every scenario, the sum of span-name counts equals span count;
the sum of edge multiplicities equals span count minus root-span count;
every parent is resolved and all spans belong to one scenario trace;
no prohibited field, raw identifier, sentinel or protected content appears.
If the exact observation line is unavailable or any check fails, stop without writing:
BLOCKED — TRACE OBSERVATION SOURCE UNAVAILABLE OR INVALID — W4-08.
4. Renewed exact document boundary
The manifest remains unchanged.
CREATE — exactly 6
docs/test-evidence/W4-003.md
docs/test-evidence/W3-09-telemetry.txt
docs/test-evidence/W4-08-trace.json
docs/adr/ADR-008-otel.md
docs/test-evidence/W4-09-failures.txt
docs/test-evidence/W4-10-load.json
UPDATE — exactly 3
docs/test-evidence/W4-001.md
docs/test-evidence/W4-002.md
docs/test-evidence/README.md
DELETE — 0
None.
Reconciliation:
CREATE: 6
UPDATE: 3
documents written: 9
DELETE: 0
mandatory later Column N scope: all 9 documents
No additional document, report, source, test, configuration, Excel or Git path is authorized.
5. W4-08 evidence construction clarification
Create docs/test-evidence/W4-08-trace.json using:
the exact observation values from the owner transcript;
the exact owner command and six-test PASS result;
the chronological remediation facts;
existing owner-supplied W4-003 TEST-001 facts;
the limitations and lifecycle facts in the original Column M approval.
The evidence document may add documentation metadata, ownership, commands, classifications, warnings, risks, limitations, lifecycle facts and a pending final-approval object around the observed trace summary. It must not alter the observed scenario objects or their counts/hierarchy.
Preserve the distinction:
five unchanged integration tests plus one feature test produced the six-pass combined result;
the single feature test emitted the one exact trace-observation JSON line;
no test or span was added merely to manufacture a count;
no single cross-request trace was fabricated;
query, agent-start and agent-decision remain three separate real local traces.
Do not include raw trace IDs, span IDs, request IDs, timestamps, durations, attributes, events, query/answer/evidence/prompt content, identity data, approval/run identifiers, tool data, credentials, PII, exception text or stack traces.
6. All original Column M requirements remain active
Apply every requirement from the original approved Column M prompt, including:
complete W4-003, W3-09, W4-08, W4-09 and W4-10 implementation/test facts;
exact W4-10 owner-generated redacted load JSON;
chronological 679-to-690 full-suite progression;
all historical failures and successful bounded remediation reruns;
accepted Starlette/httpx and CRLF warnings;
seven skips and four deselections preserved as NOT RUN;
W4-001 and W4-002 append-only deferred-test closure addenda;
correct OBS-001, AGENT-001 and API-001 ownership;
no production, network, provider, collector, cloud, deployment or SLO claim;
exact rollback, teardown, cost and residual-resource facts;
Final Owner Approval fields left pending for Column N;
one-row-per-document returned manifest;
all nine documents mandatory in Column N closure.
Historical NOT RUN statements in W4-001 and W4-002 remain historically true and must not be erased. Record later W4-10 and W4-09 PASS closure as subsequent approved facts.
7. Prohibited actions
Do not:
run or rerun a test, linter, type checker, validator, load profile or trace observation;
edit code, tests, configuration, dependencies, feature ownership, Excel or Git;
execute a collector, exporter, application, network, provider, model, cloud or deployment action;
invent missing trace or load values;
create any path beyond the nine documents;
perform Column N closure in this action.
8. Mandatory completion output
After writing, return:
COLUMN M APPROVED DOCUMENT MANIFEST — W4-003/W4-09/W4-10
Include one row for each of the nine documents with every field required by the original Column M approval. Reconcile 6 CREATE, 3 UPDATE, 0 DELETE and 9 mandatory Column N documents exactly.
End exactly:
DOCUMENTATION READY FOR OWNER REVIEW — W4-003/W4-09/W4-10.</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</si>
  <si>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</si>
  <si>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FOUR APPROVAL GATES PLUS OWNER TESTING AND WEEKLY LEARNING — TRACKER v1.3.5
MAIN PROMPT — W4-ROLLBACK-001
Owner sequencing alias: W4-004. The authoritative tracker identity remains W4-ROLLBACK-001, covering W4-11. Do not create or reinterpret a separate tracker task called W4-004. In the tracker Test Evidence sheet, T-W4-004 is observability and T-W4-005 is immutable application release rollback.
TASK IDENTITY
Week: Week 4
Prompt ID: W4-ROLLBACK-001
Covered tracker step: W4-11
Feature/outcome: Local immutable release rollback drill
Business purpose: Prove application-release rollback separately from RAG configuration rollback and infrastructure rollback.
Required inputs: Approved immutable local release identities N and N+1, an approved safe regression, an exact activation/rollback contract, and completed prerequisite evidence for W4-01 through W4-10.
Expected outcome: The approved synthetic regression is detected in N+1; the exact immutable release N is restored; health, smoke and feature checks pass; rollback duration and residual-resource facts are recorded without changing shared data or infrastructure.
Canonical tracker evidence: docs/rollback-records/W4-release.md
Task type: Implementation plus owner-executed deterministic local rollback drill
Next approval position after Gate 1: Separate exact bounded Code Edit Approval in Column L
OWNER-CONTROLLED FIRST RESPONSE — GATE 1 READ-ONLY PRE-EDIT REVIEW ONLY
On first invocation, perform Gate 1 only.
Inspect the repository and governing records read-only. Do not create, edit, delete, install, uninstall, download, execute tests, lint, format, type-check, build, start, stop, activate a release, introduce a regression, roll back, smoke-test, deploy, remediate, tear down, contact a registry/cloud/model/vector/identity/collector service, or mutate local or external state. Do not edit Excel, stage, commit or push Git changes.
An open Excel process, the workbook's ~$ lock file and an uncommitted workbook are owner-controlled and non-blocking for Column L. Treat them as excluded. Do not request an owner decision about them and do not use them as a baseline-drift blocker. Read only the current saved authoritative tracker content available to the task.
Never invent an owner decision, release identity, digest, checksum, command result, approval, PASS result, duration, evidence path or lifecycle fact. Never silently reconcile conflicting records.
SOURCE PRECEDENCE
Apply the repository-approved source precedence exactly:
Enterprise AI Architecture Source of Truth v1.1.
Approved ADRs and owner decision records.
Coaching Blueprint and approved learning records.
Authoritative repaired TRACKER v1.3.5.
Approved requirements, implementation, configuration and evidence.
Later owner-approved evidence may supersede stale tracker status text, but it does not silently rewrite the tracker. Report the difference and preserve both facts with their dates and authority.
AUTHORITATIVE TRACKER CONTRACT — DO NOT CHANGE THE PLAN
W4-11 requires:
Action: Deploy local immutable version N+1, force an approved safe regression and restore N.
Business reason: Release rollback is separate from infrastructure rollback.
Acceptance: N becomes healthy and passes feature tests after rollback.
Dependency: W4-01:W4-10.
Owner-run command order: first make rollback-release, then make smoke.
Evidence outcome: rollback duration and health evidence recorded.
Canonical evidence path: docs/rollback-records/W4-release.md.
Failure action: keep the agent route disabled until the failure is fixed.
Downstream tracker consumer: W4-12 Week 4 checkpoint/sign-off.
The original plan is local and deterministic. It does not authorize image push, registry mutation, Kubernetes, EKS, Terraform, AWS, cloud deployment, infrastructure rollback, production data mutation or production-readiness claims.
CURRENT RECORDED IMPLEMENTATION AND TEST CONTEXT — MUST BE REVALIDATED
Treat the following as supplied planning context, not as permission to edit or execute and not as a substitute for reading the current repository and approved evidence.
Week 1 and Week 2 foundations
Week 1 established the governed repository, source precedence, configuration/security boundaries, provider contracts, lifecycle controls and owner-led evidence workflow.
Week 2 established deterministic embedding, ingestion and authorization-aware local retrieval contracts with rollback and cleanliness coverage.
These are protected transitive inputs to the Week 4 application release. W4-ROLLBACK-001 may fingerprint and verify them but must not redefine their business behavior, authorization rules, data contracts or evidence history.
Gate 1 must read their current approved ADRs, feature records, tests and evidence rather than assume filenames or test counts from this summary.
Week 3 foundations
W3-001 implemented authorized cited RAG.
W3-002 implemented deterministic evaluation and promoted an immutable approved baseline.
W3-003 implemented fail-closed input/output guardrails.
W3-004 implemented and owner-tested RAG configuration rollback.
These contracts and their final-approved evidence are protected consumers of the Week 4 release identity. The W4 drill verifies that an application release restores them; it does not reopen or replace them.
W4-001
W4-01 API boundary and W4-02 authentication/authorization boundary were implemented, owner-tested, documented and final-approved.
Recorded final ordinary suite at that closure: 537 passed, 7 skipped and 4 deselected.
Canonical records include docs/test-evidence/W4-001.md, docs/test-evidence/W4-01-api.txt, docs/test-evidence/W4-02-auth.txt and the evidence README.
W4-002
W4-03 through W4-07 agent graph, read tool, approval, budgets and redacted state were implemented, owner-tested, documented and final-approved.
Recorded final ordinary suite at that closure: 613 passed, 7 skipped, 4 deselected and 10 subtests.
Canonical records include docs/test-evidence/W4-002.md, ADR-005, the agent architecture records, W4-03 through W4-07 evidence and the evidence README.
W4-003, W4-09 and W4-10
W3-09 telemetry and W4-08 trace correlation were implemented and owner-tested locally with deterministic in-memory telemetry.
W4-08 was reconciled to one trace per real request scenario: query, agent-start and agent-decision. The three-trace set collectively covers the required API, authorization, guardrail, retrieval, embedding, LLM, RAG, graph, approval and tool stages. Do not fabricate one trace containing mutually separate requests.
W4-09 failure scenarios and W4-10 bounded local load/smoke testing were subsequently implemented and owner-tested under their original owners.
Recorded final ordinary suite after W4-09/W4-10: 690 passed, 7 skipped, 4 deselected and 10 subtests.
Open owner-test FAIL results: none.
Open owner-test INDETERMINATE results: none.
Required NOT RUN checks in that bounded local test cycle: none.
Accepted warning: repeated Starlette/httpx deprecation warning.
Historical Ruff, MyPy, assertion, trace-collection, cleanliness and socket-guard failures remain historical FAIL facts with successful approved remediation reruns.
No production, live-provider, external network, collector runtime, cloud, deployment or production-SLO claim was established.
At prompt-drafting time, owner TEST-001 completion was recorded, while final canonical W4-003/W4-09/W4-10 documentation closure had not yet been supplied in this conversation. Gate 1 must read the current repository and determine whether the relevant Column M/Column N records now exist and are final-approved. Do not rerun completed tests merely because documentation is pending, and do not relabel recorded PASS results as unproven.
Protected prior baseline
W3-002 has an approved immutable evaluation baseline and must remain unchanged.
W3-004 proved RAG configuration rollback. W4-ROLLBACK-001 must not duplicate or replace it.
Week 4 release rollback must cover the application release composition containing the approved API, agent, guardrails, evaluation and telemetry contracts, without redefining those contracts.
EXACT SCOPE DISTINCTIONS
This task implements and proves
A local immutable release identity for approved known-good release N.
A separate immutable candidate/regression release identity N+1.
Exact content-addressed or checksum-bound release composition and provenance.
A safe, synthetic, deterministic regression that cannot mutate production or shared business data.
A bounded local activation mechanism.
Detection that N+1 violates the approved release gate.
Atomic, concurrency-safe restoration of exact release N.
Owner-run health, smoke, feature, security and cleanup verification.
Rollback duration and redacted evidence suitable for the canonical rollback record.
This task does not implement or prove
W3 RAG configuration rollback; that is already closed under W3-004.
Git rollback, branch reset, source deletion or editing forward under incident pressure.
Database, vector-index or business-data rollback.
Infrastructure rollback, Terraform rollback or cloud-resource replacement.
Container registry promotion, image push/pull, Kubernetes or EKS rollout/rollback.
Production traffic shifting, production SLOs, disaster recovery, multi-region failover or cloud teardown.
New API, agent, RAG, guardrail, evaluation or telemetry business behavior.
A live provider, Qdrant/OpenSearch, Bedrock, identity provider, collector or external exporter.
W4-12 checkpoint/sign-off, tracker editing or Git mutation.
IMMUTABILITY AND TRUST CONTRACT
Gate 1 must inspect the actual repository and propose the smallest design that satisfies the tracker. Do not assume filenames, schemas or symbols before inspection.
The proposed design must ensure:
N and N+1 have separate deterministic identities derived from an exact canonical payload.
Release identity includes every transitive application/configuration artifact required to reproduce the approved local behavior, or explicitly explains why a consumer is excluded.
Mutable paths, timestamps, runtime duration and owner annotations are not part of semantic identity unless explicitly approved.
The active release pointer is not itself the immutable release.
Activation validates the target before changing the pointer.
The last-known-good release is never overwritten, mutated or deleted by rollback.
A failed N+1 remains blocked and cannot be relabelled as healthy.
Rollback restores exact N; it does not construct a new approximation of N.
Shared data, approved evaluation baselines and protected prior evidence remain unchanged.
All errors and reports are content-free, redacted and deterministic.
SAFE REGRESSION CONTRACT
Gate 1 must identify and obtain approval for one exact synthetic regression. It must:
Be deterministic, local, reversible and impossible to confuse with production data.
Exercise a meaningful Week 4 release gate, preferably a safe response/citation/authentication/agent/telemetry invariant already covered by tests.
Change only the approved N+1 release artifact or activation input.
Produce a known safe failure signal before rollback.
Require no secret, real PII, live model, external service, network or cloud resource.
Leave immutable N unchanged.
Be removed or rendered inactive after rollback according to the approved cleanup contract.
Do not use arbitrary source corruption, weaken assertions, expose invalid citations, bypass authorization, execute a real write tool, or introduce a regression that can escape the deterministic local drill.
ACTIVATION, CONCURRENCY AND FAILURE CONTRACT
Gate 1 must inspect current implementation patterns and propose exact controls for:
Exclusive writer locking with a bounded acquisition timeout.
Expected-current compare-and-swap before activation or rollback.
Same-directory atomic replacement of the active pointer/state.
Revalidation of release identity immediately before and after activation.
Monotonic generation or equivalent stale-writer protection.
Idempotent already-active behavior.
Fail-closed handling of missing, malformed, duplicated, reordered, unexpected, modified or unauthorized release data.
Cancellation and timeout behavior that cannot leave a half-written active state.
No automatic fallback that hides an unsuccessful activation or rollback.
Forward remediation only after a failed restored-N verification; never mutate N automatically.
Exact cleanup and zero-residue rules for temporary files, locks, reports and task-owned local resources.
MANDATORY GATE 1 OUTPUT — COMPLETE IMPACT REVIEW
Return the following sections in order.
1. Business outcome and measurable acceptance
Explain the business problem, beneficiaries, architecture position and failure risk. Define measurable functional, security, privacy, reliability, cost, rollback-duration and residue acceptance. State which measures are hard gates and which are report-only.
2. Governing baseline and prerequisite reconciliation
Read and report:
Current repository root, full HEAD, branch and complete tracked/untracked status.
Source of Truth, ADR-000 source precedence, ADR-012 reversibility, ADR-016 feature cycle, ADR-017 release gates and every directly governing decision.
Current feature matrix, validator, Makefile and platform CLI behavior.
Approved W3 evaluation baseline and W3 RAG rollback artifacts.
W4-001 and W4-002 final approvals.
Current W4-003, W4-09 and W4-10 implementation, owner-test and documentation-closure state.
Current tracker status versus later approved repository evidence.
Existing release, rollback, smoke, activation, versioning, manifest, report and cleanup mechanisms.
Caches, ignored paths, temporary files and local resources that can affect or survive the drill.
Do not use Excel process state, the ~$ lock or uncommitted workbook content as a blocker or owner decision.
If a protected code/evidence baseline has materially changed, identify the exact changed facts and stop with:
BLOCKED — BASELINE CHANGED — W4-ROLLBACK-001.
3. Existing-prompt and current-state reconciliation
Compare this prompt with the existing tracker prompt and current repository. Separate:
Unchanged original requirements.
Stale tracker statuses superseded by later approved evidence.
Newly completed prerequisites.
Still-pending documentation or owner decisions.
Historical statements retained for audit.
Any conflict that cannot be reconciled without owner authority.
4. Release identity and schema analysis
For N, N+1, the active pointer, regression identity and rollback record, propose the exact schema, canonical serialization, ordering, SHA-256 calculation, version fields, transitive producer fingerprints and immutable/mutable boundaries. Cover missing, malformed, duplicate, reordered, modified and unexpected fields.
5. End-to-end function and connection map
Trace:
approved N -&gt; construct/validate N+1 -&gt; activate N+1 -&gt; run safe regression check -&gt; detect failure -&gt; rollback request -&gt; lock/CAS -&gt; restore N -&gt; health/smoke/feature checks -&gt; evidence -&gt; cleanup
Map every entry point, function, class, file/state boundary, authenticator/authorization check, timeout, lock, cancellation point, error, retry policy and cleanup action. Identify network/service edges and prove why they remain unused.
6. Producer-consumer impact matrix
For every proposed interface, function, class, schema, field, constant, environment value, Make target, CLI command, feature record, release artifact, report and evidence path, list:
Producer or definition.
Imports, callers and constructors.
Validators and canonical serializers.
Fixtures and duplicated literals.
Unit, contract, integration, feature, security, rollback, teardown and cleanliness consumers.
CLI, Makefile, platform validation and documentation consumers.
Required change or evidence-based reason to remain unchanged.
Search exact repository paths. Never infer a filename or omit a discovered consumer.
7. Exact proposed Column L boundary
Return complete repository-relative manifests under:
CREATE
UPDATE
DELETE
VERIFIED UNCHANGED CONSUMERS
DEFERRED
EXCLUDED
Give exact path counts and the exact symbol/section purpose for every editable path. Use no wildcards, directory-only entries, placeholders or duplicate classifications. Documentation and canonical evidence remain outside Column L.
8. Dependency and runtime API analysis
Inspect pyproject.toml, requirement/lock files, current tool configuration and actual approved APIs. State whether any new dependency is necessary. Prefer standard-library and existing repository mechanisms. Record runtime compatibility, optional/lazy loading, network/download/cache behavior and provenance. Do not install, download or mutate the environment.
9. Complete automated-test design
Propose exact test paths and positive/negative cases for:
Canonical release identity and transitive fingerprinting.
Immutable N and N+1 validation.
Approved safe N+1 regression and failure detection.
Atomic activation and rollback.
Lock timeout, compare-and-swap conflict and generation recheck.
Idempotent already-active rollback.
Malformed, missing, duplicate, reordered, unexpected and changed data.
Preserved API, authentication, RAG, evaluation, guardrail, agent, telemetry, W4-09 and W4-10 contracts.
Failed rollback and restored-N verification failure.
Cancellation, timeout, partial write and report-write failure.
Rollback duration measurement.
Cleanup, teardown and zero residue.
Feature matrix and platform validation.
Full ordinary regression suite.
Do not weaken prior tests or create evidence through test fixtures.
10. Owner TEST-001 execution guide — planned only
Derive exact cache-safe commands from the inspected repository. Preserve the tracker-required order:
make rollback-release
make smoke
If prerequisites, focused tests, static checks, baseline capture, regression activation, rollback preparation, integrity verification or cleanup require separate commands, explain their exact placement without replacing or reversing the two tracker commands.
For every command provide:
Topic and exact command.
Purpose.
Preconditions and required access.
Expected output and PASS criteria.
FAIL/NOT RUN/INDETERMINATE classification.
Network, privacy, cost and mutation impact.
Stop condition.
Evidence to retain.
The owner runs one command at a time and returns complete output. On FAIL or INDETERMINATE, stop; perform read-only root-cause and complete producer-consumer analysis; request one consolidated remediation approval; never self-remediate.
11. Security, privacy, cost and lifecycle impact
Cover authorization to activate/rollback, release provenance, secret/PII/content exclusion, tenant isolation, safe error handling, local disk/CPU/memory, any network or paid-service exposure, retained reports/releases, rollback duration, cleanup, teardown and residual risks. Do not claim owner time or local infrastructure cost is USD 0. Provider/cloud cost may be reported as USD 0 only when the approved execution proves no provider/cloud activity.
12. Column M and Column N planning boundary
Do not write documentation at Gate 1 or Column L.
After owner execution, propose a separate exact Column M manifest based on actual repository state and owner results. It must include the tracker-required docs/rollback-records/W4-release.md and any aggregate/index/security/operations/learning document genuinely required by current repository conventions. Do not invent or pre-authorize paths.
Column M must record exact release identities and hashes, regression trigger, command results, rollback duration, health/smoke/feature results, PASS/FAIL/NOT RUN/INDETERMINATE facts, warnings, limitations, cost, network/provider activity, rollback, teardown and residual resources.
Column N must close every Column M document with the owner-supplied reviewer, role, exact decision, timestamp/timezone, accepted risks, limitations, deferred actions and lifecycle facts. Tracker update remains owner-only.
13. Consolidated owner decisions
Ask once for every unresolved decision. At minimum reconcile:
Exact immutable identity and composition of approved release N.
Exact immutable identity and composition of N+1.
Canonical serialization, checksum and transitive fingerprint rules.
Exact active-pointer/state path and lifecycle.
Locking, compare-and-swap, generation and atomic-replace contract.
Exact safe regression and expected failure signal.
Exact restored-N health, smoke, feature, security and telemetry gates.
Rollback-duration start/end definition and whether a target is a hard gate or report-only.
Exact local reports/state, no-overwrite behavior, retention and cleanup.
Failed rollback and restored-N verification-failure policy.
Feature ownership/status/path reconciliation for W4-11.
Local-only execution boundary and explicit cloud/registry/container exclusions.
Exact proposed Column L path manifest.
Any prerequisite evidence closure that remains pending without reopening completed implementation or tests.
For each decision provide the exact question, recommendation, alternatives, trade-off and whether it blocks editing or only later execution/documentation. Reuse owner-approved values and do not ask them again.
COLUMN L RULES — NOT ACTIVE IN THIS PROMPT
No tracker text or Main Prompt grants edit authority. Column L begins only after:
Gate 1 is complete.
Every edit-blocking owner decision is resolved.
The current HEAD, path classifications, direct/indirect consumers and patch contexts are re-read.
The owner supplies a separate exact bounded Code Edit Approval.
Column L may change only its exact approved code/configuration/automated-test paths. It must not run tests or commands, activate a release, introduce the regression, roll back, write evidence, edit Excel or mutate Git.
POST-EDIT HANDOFF AND OWNER LEARNING
After an approved Column L edit, return a business-first handoff without claiming execution results:
Business use case and measurable acceptance.
Difference between RAG configuration, application release and infrastructure rollback.
Release identity, activation and rollback components.
End-to-end control/failure flow.
Immutability, locking, compare-and-swap and idempotency.
Safe regression and negative tests.
Security, privacy, reliability, cost and residue controls.
Owner TEST-001 commands, expected results and stop conditions.
Rollback, teardown and residual-resource distinctions.
Interview-ready 30-second, two-minute and five-minute explanations.
Layman analogy: switching a railway signal back from a faulty new track to the exact previously inspected track, then proving trains can safely run again. The track is the application release; changing a signal is not rebuilding the railway infrastructure.
GATE 1 STATUS RULES
If the baseline and prerequisites can be inspected and all remaining decisions can be presented for owner review, end exactly:
READY FOR PRE-EDIT REVIEW — W4-ROLLBACK-001.
If a protected baseline or approved path changed materially, end exactly:
BLOCKED — BASELINE CHANGED — W4-ROLLBACK-001.
If a required source or current repository state is unavailable, name the exact missing input and end exactly:
BLOCKED — REQUIRED INPUT MISSING — W4-ROLLBACK-001.
When this Main Prompt is first invoked, perform Gate 1 only. Do not edit or execute anything.</t>
  </si>
  <si>
    <t>READY FOR PRE-EDIT REVIEW — W4-ROLLBACK-001</t>
  </si>
  <si>
    <t>COLUMN L — FINAL BOUNDED CODE EDIT APPROVAL — W4-ROLLBACK-001
APPROVAL IDENTITY
Prompt ID: W4-ROLLBACK-001
Owner sequencing alias: W4-004 only
Authoritative tracker step: W4-11
Feature: REL-001
Feature status during implementation: In Progress
Business purpose: Prove that a deliberately defective but safe local immutable application release N+1 can be rejected and the exact approved release N restored without changing source, shared data, infrastructure or prior evidence.
Task boundary: Local immutable application-release rollback only
This is not W3 RAG-configuration rollback, Git rollback, data rollback, infrastructure rollback, Kubernetes/EKS rollback or cloud rollback.
GATE 2 BASELINE — OWNER APPROVED
Gate 2 passed and this approval is bound to:
Repository root: E:\AI\enterprise_ai_platform
HEAD: faf5552f1eb8f2aaa884a9a68a3e3f8a38bec496
Branch: main
Unexpected status paths: 0
CREATE targets absent: 20/20
UPDATE targets present: 9/9
VERIFIED UNCHANGED paths present: 139/139
DEFERRED repository paths: 4
EXCLUDED tracked paths: 239
Release payload paths: 99
Release composition SHA-256: 5340439d876036885558c32738416dd908a27f763bd87fc5e43fd1690f08dbdc
All approved protected hashes remain exact. The owner-controlled tracker workbook and any Excel lock are non-blocking and excluded. Do not inspect, modify or use them as an edit blocker.
Immediately before the first edit, re-read the current HEAD, complete status, all 20 CREATE targets, all nine UPDATE files and patch contexts, the 139 VERIFIED UNCHANGED paths, the 99-file release payload and protected hashes. If any material value differs, edit nothing and return exactly:
BLOCKED — BASELINE CHANGED — W4-ROLLBACK-001.
AUTHORIZED OWNER DECISIONS
D1–D18 are approved exactly as recorded.
Feature ownership
Create REL-001, status In Progress, positioned immediately after OBS-001, linked only to W4-11, with the 29 editable implementation paths listed in this approval in CREATE order followed by UPDATE order.
Immutable release N
N is the final-approved application at:
repository_commit_sha = faf5552f1eb8f2aaa884a9a68a3e3f8a38bec496
package_version = 0.1.0
release_version = w4-known-good-v1
composition_algorithm = sha256-canonical-artifact-set-v1
composition_sha256 = 5340439d876036885558c32738416dd908a27f763bd87fc5e43fd1690f08dbdc
artifact_count = 99
The W4 release-control implementation added under this approval is control-plane tooling and is excluded from the immutable N application payload.
Synthetic release N+1
N+1 has the same repository commit, package version, 99 artifacts, per-artifact fingerprints and composition hash as N. Its only approved behavioral difference is:
release_version = w4-synthetic-regression-v1
agent_enabled = false
regression_profile = w4-011.agent-route-disabled.v1
expected_gate = FAIL
expected_safe_error_code = agent_disabled
The deterministic candidate probe must observe HTTP 501 and safe code agent_disabled, with zero RAG, retrieval, embedding, provider, graph, approval and tool calls; no network or shared-data mutation is permitted.
Canonical identity
Release descriptors must use:
Strict UTF-8 JSON without BOM.
Object keys sorted canonically.
Artifact entries sorted by exact repository-relative POSIX path.
Compact , and : separators.
Non-ASCII characters preserved.
Non-finite numbers prohibited.
Exactly one final newline.
SHA-256 over the complete canonical bytes.
Stored bytes exactly equal to canonical bytes.
Duplicate keys rejected with the existing strict JSON contract.
Missing, extra, malformed, reordered, reformatted, absolute, traversing, case-ambiguous, symlinked or unexpected paths rejected before activation.
Every referenced artifact rehashed immediately before activation and after restoration.
Mutable runtime boundary
Only these runtime paths are approved:
reports/w4-release/active.json
reports/w4-release/regression.json
reports/w4-release/rollback.json
reports/w4-release/smoke.json
reports/w4-release/activation.lock
reports/w4-release/&lt;exact same-directory atomic temporary files&gt;
Runtime state and reports are not release identity inputs. They must be atomically created without overwrite where applicable and remain Git-ignored.
Concurrency, atomicity and safety
Implement:
Exclusive writer lock.
Maximum lock-acquisition wait of 1.0 second.
Monotonic polling every 10 milliseconds.
Expected-current compare-and-swap.
Generation recheck before publication.
Same-directory atomic replacement.
Post-write identity verification.
Idempotent already-active behavior.
No automatic stale-lock deletion.
No automatic fallback, hidden retry or edit-forward behavior.
Cancellation and failure cleanup that cannot publish partial state.
Active state must keep:
agent_route_allowed = false
until every approved make smoke recipe succeeds. Rollback failure, report failure, timeout, cancellation or restored-N verification failure must keep the latch false, preserve N+1 as failed, leave N immutable and require separate bounded remediation approval.
Rollback duration
Timing starts immediately before rollback identity validation and lock acquisition. It stops after atomic restoration and successful post-read identity revalidation of N.
Hard maximum rollback duration: 30,000 ms
Smoke and feature-verification duration is measured separately and remains report-only.
Restored-N smoke gates
The owner-run smoke flow must later verify:
Exact health response.
Route and runtime-profile integrity.
Restored release identity and generation.
W3 cited RAG.
W3 deterministic evaluation and protected baseline.
W3 guardrails.
W4 agent failure behavior.
API authentication and authorization.
Telemetry correlation and redaction.
Bounded API load smoke.
Cleanup and zero unexpected residue.
Column L implements these checks but does not execute them.
EXACT COLUMN L PATH MANIFEST
CREATE — exactly 20
configs/releases/versions/w4-known-good-v1.json
configs/releases/versions/w4-synthetic-regression-v1.json
src/enterprise_ai_platform/release_rollback/__init__.py
src/enterprise_ai_platform/release_rollback/errors.py
src/enterprise_ai_platform/release_rollback/models.py
src/enterprise_ai_platform/release_rollback/identity.py
src/enterprise_ai_platform/release_rollback/state.py
src/enterprise_ai_platform/release_rollback/probe.py
src/enterprise_ai_platform/release_rollback/service.py
tools/releasectl.py
tests/fakes/release_rollback.py
tests/unit/test_release_rollback_identity.py
tests/unit/test_release_rollback_state.py
tests/contract/test_release_rollback_contract.py
tests/integration/test_release_rollback_composition.py
tests/feature/test_w4_011_release_rollback.py
tests/smoke/test_w4_011_release_smoke.py
tests/security/test_w4_011_release_rollback_security.py
tests/rollback/test_w4_011_release_rollback.py
tests/teardown/test_w4_011_release_rollback_cleanliness.py
UPDATE — exactly 9
.gitignore
Makefile
feature-matrix.yaml
pyproject.toml
tools/platformctl/validate.py
tests/unit/test_platformctl.py
tests/feature/test_feature_matrix.py
tests/feature/test_w2_002_embedder_contract.py
tests/feature/test_w2_003_ingestion_contract.py
DELETE — exactly 0
None.
VERIFIED UNCHANGED — exactly 139
The following paths may be read and verified but must not be edited.
Package root — 4
src/enterprise_ai_platform/__init__.py
src/enterprise_ai_platform/app.py
src/enterprise_ai_platform/config.py
src/enterprise_ai_platform/json_contracts.py
Agent — 11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API — 6
src/enterprise_ai_platform/api/__init__.py
src/enterprise_ai_platform/api/dependencies.py
src/enterprise_ai_platform/api/errors.py
src/enterprise_ai_platform/api/models.py
src/enterprise_ai_platform/api/routes.py
src/enterprise_ai_platform/api/runtime.py
Embeddings — 5
src/enterprise_ai_platform/embeddings/__init__.py
src/enterprise_ai_platform/embeddings/base.py
src/enterprise_ai_platform/embeddings/errors.py
src/enterprise_ai_platform/embeddings/fake.py
src/enterprise_ai_platform/embeddings/sentence_transformer.py
Evaluation — 12
src/enterprise_ai_platform/evaluation/__init__.py
src/enterprise_ai_platform/evaluation/baseline.py
src/enterprise_ai_platform/evaluation/config.py
src/enterprise_ai_platform/evaluation/dataset.py
src/enterprise_ai_platform/evaluation/errors.py
src/enterprise_ai_platform/evaluation/evaluator.py
src/enterprise_ai_platform/evaluation/fixtures.py
src/enterprise_ai_platform/evaluation/metrics.py
src/enterprise_ai_platform/evaluation/models.py
src/enterprise_ai_platform/evaluation/promotion.py
src/enterprise_ai_platform/evaluation/report.py
src/enterprise_ai_platform/evaluation/runner.py
Guardrails — 5
src/enterprise_ai_platform/guardrails/__init__.py
src/enterprise_ai_platform/guardrails/adapter.py
src/enterprise_ai_platform/guardrails/errors.py
src/enterprise_ai_platform/guardrails/models.py
src/enterprise_ai_platform/guardrails/policy.py
Ingestion — 10
src/enterprise_ai_platform/ingestion/__init__.py
src/enterprise_ai_platform/ingestion/chunking.py
src/enterprise_ai_platform/ingestion/errors.py
src/enterprise_ai_platform/ingestion/identity.py
src/enterprise_ai_platform/ingestion/loaders.py
src/enterprise_ai_platform/ingestion/models.py
src/enterprise_ai_platform/ingestion/normalization.py
src/enterprise_ai_platform/ingestion/pii.py
src/enterprise_ai_platform/ingestion/pipeline.py
src/enterprise_ai_platform/ingestion/tokenizer.py
LLM — 7
src/enterprise_ai_platform/llm/__init__.py
src/enterprise_ai_platform/llm/bedrock.py
src/enterprise_ai_platform/llm/errors.py
src/enterprise_ai_platform/llm/factory.py
src/enterprise_ai_platform/llm/fake.py
src/enterprise_ai_platform/llm/models.py
src/enterprise_ai_platform/llm/provider.py
Existing W3 RAG rollback — 6
src/enterprise_ai_platform/rag_rollback/__init__.py
src/enterprise_ai_platform/rag_rollback/errors.py
src/enterprise_ai_platform/rag_rollback/identity.py
src/enterprise_ai_platform/rag_rollback/models.py
src/enterprise_ai_platform/rag_rollback/service.py
src/enterprise_ai_platform/rag_rollback/state.py
RAG — 6
src/enterprise_ai_platform/rag/__init__.py
src/enterprise_ai_platform/rag/config.py
src/enterprise_ai_platform/rag/errors.py
src/enterprise_ai_platform/rag/models.py
src/enterprise_ai_platform/rag/prompt.py
src/enterprise_ai_platform/rag/service.py
Retrieval — 10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src/enterprise_ai_platform/retrieval/adapters/__init__.py
src/enterprise_ai_platform/retrieval/adapters/fake.py
src/enterprise_ai_platform/retrieval/adapters/opensearch.py
src/enterprise_ai_platform/retrieval/adapters/qdrant.py
Telemetry — 3
src/enterprise_ai_platform/telemetry/__init__.py
src/enterprise_ai_platform/telemetry/models.py
src/enterprise_ai_platform/telemetry/runtime.py
Configuration, data and dependency release inputs — 14
configs/eval/baselines/w3-002-v1.json
configs/eval/golden.jsonl
configs/eval/w2-starter.jsonl
configs/eval/w3-002.yaml
configs/observability/otel-collector.local.yaml
configs/pii-policy.yaml
configs/rag.yaml
configs/rag/versions/w3-002-v1.json
configs/rag/versions/w3-004-synthetic-regression-v1.json
data/sample/approved/coaching-blueprint.md
data/sample/approved/source-of-truth-v1.1.md
data/sample/corpus-manifest.json
data/sample/restricted-fixtures/restricted-test.txt
requirements.txt
The 99 paths above are the exact immutable release-fingerprint inputs.
Additional unchanged consumers and governing records — 40
tools/platformctl/cli.py
tools/platformctl/rollback.py
tools/ragrollbackctl.py
tests/integration/test_repository_layout.py
tests/smoke/test_platformctl_help.py
tests/security/test_repository_security.py
tests/teardown/test_repository_cleanliness.py
tests/feature/test_health_contract.py
tests/feature/test_w3_001_cited_rag.py
tests/feature/test_w3_002_offline_evaluation.py
tests/feature/test_w3_003_guardrails.py
tests/feature/test_trace_correlation.py
tests/feature/test_agent_failures.py
tests/feature/test_api_load_smoke.py
tests/security/test_api_authorization.py
tests/security/test_telemetry_redaction.py
tests/security/test_agent_approval.py
tests/security/test_agent_state_redaction.py
tests/rollback/test_w4_001_api_rollback.py
tests/rollback/test_w4_002_agent_rollback.py
tests/rollback/test_w4_003_telemetry_rollback.py
docs/test-evidence/W3-004.md
docs/rollback-records/W3-rag.md
docs/test-evidence/W4-001.md
docs/test-evidence/W4-002.md
docs/test-evidence/W4-003.md
docs/test-evidence/W4-09-failures.txt
docs/test-evidence/W4-10-load.json
docs/adr/ADR-000-source-precedence.md
docs/adr/ADR-005-langgraph.md
docs/adr/ADR-006-authorization.md
docs/adr/ADR-008-otel.md
docs/adr/ADR-011-manual-mutations.md
docs/adr/ADR-012-reversibility.md
docs/adr/ADR-013-cleanup-verification.md
docs/adr/ADR-016-feature-cycle.md
docs/adr/ADR-017-release-gates.md
docs/governance/Enterprise_AI_Architecture_Source_of_Truth_v1.1.docx
docs/governance/Enterprise_AI_Architecture_Coaching_Blueprint.docx
docs/learning/W3-learning-review.md
DEFERRED — exactly 4 repository paths
docs/rollback-records/W4-release.md
docs/test-evidence/README.md
docs/deployment-records/W4-signoff.md
docs/learning/W4-learning-review.md
Classification:
docs/rollback-records/W4-release.md is the required later W4-11 Column M record.
docs/test-evidence/README.md may be updated only under the later exact Column M manifest.
docs/deployment-records/W4-signoff.md belongs to W4-12.
docs/learning/W4-learning-review.md belongs to the later Week 4 learning gate.
Also deferred: command execution, runtime reports, regression activation, rollback, smoke, evidence writing, documentation closure, final approval, tracker reconciliation, Git mutation, Python 3.11 execution, deployment, production validation, Docker, registry, Kubernetes, EKS, AWS, cloud and infrastructure lifecycle activity.
EXCLUDED
Every path not classified above is excluded. The approved tracked exclusion inventory contains 239 paths and has sorted newline-delimited SHA-256:
80b47a7c35f66ac573c926d7982965a9056d3b09e6816c55878628ab121ca264
Material exclusions include:
.env.example; no new runtime environment value is authorized.
Dockerfiles and Docker Compose files.
Terraform, infrastructure, policies, registry and cloud paths.
Generated or stale src/enterprise_ai_platform.egg-info/* metadata.
The tracker workbook, historical workbooks and office lock files.
Obsolete/absent docs/test-evidence/W4-api.txt, W4-approval.txt, W4-agent-failures.txt, W4-trace.json and tests/security/test_log_redaction.py.
Source/Git rollback, database/vector rollback, W3 RAG rollback modification, infrastructure rollback and W4-12 implementation.
REQUIRED IMPLEMENTATION
Implement only the approved paths and contracts.
Release descriptors
Create strict immutable N and N+1 descriptor files using the approved schema, exact 99-file set, current per-file hashes, approved composition hash and runtime profiles. Do not include new release-control files in the N or N+1 application payload.
Release-control package
Implement:
Finite content-free error codes.
Frozen, strict, extra-forbidden models.
Canonical serialization and raw-byte equality validation.
Artifact path and fingerprint validation.
Release identity loading and comparison.
Bounded exclusive locking.
Atomic active-state/report publishing.
Expected-current CAS and generation controls.
Candidate regression probing.
Restored-N health/smoke probing.
Fail-closed orchestration and lifecycle policy.
Exact cleanup and zero-residue support.
Do not change W1 platformctl rollback or W3 ragrollbackctl behavior.
CLI and Make targets
Create tools/releasectl.py as the only W4-11 local CLI and place it in strict repository MyPy scope.
Add exact Make targets:
rollback-release
smoke
The tracker-required owner execution order remains:
make rollback-release
make smoke
Do not execute either target during Column L.
Feature ownership and validation
Add REL-001 after OBS-001, status In Progress, linked only to W4-11, with the exact 29 implementation paths. Synchronize the central validator and every approved hard-coded feature consumer.
Automated-test code
Create tests for:
Exact 99-file composition and canonical hash.
N/N+1 equivalence except the approved regression profile.
Modified, missing, extra, reordered, duplicate, noncanonical and unsafe artifact identities.
Initialization, activation, restoration and generation changes.
Lock timeout, stale CAS, generation conflict and idempotency.
Atomic state/report failure and post-write verification.
Expected agent_disabled regression and zero downstream calls.
Complete N → N+1 → detected failure → N restore lifecycle using temporary directories and deterministic fakes.
Exact health/route/profile/restored-identity smoke behavior.
Traversal, symlink, case ambiguity and protected-content exclusion.
Failed rollback, restored-N verification failure and report failure.
No automatic fallback or mutation of N.
Cleanup, lock/temp removal and zero residue.
Exact feature order, path ownership and platform validation.
Tests must not weaken or replace existing assertions. Test fixtures must not become canonical evidence.
CODE-QUALITY REQUIREMENTS
Preserve repository Python 3.11 target compatibility.
Use existing approved dependencies only.
Add no package, download, network client, service or external cache.
Preserve strict MyPy, Ruff and Pytest repository configuration.
Preserve public API, RAG, retrieval, guardrail, evaluation, agent and telemetry business schemas.
Use standard-library filesystem, hashing, JSON, locking/timing and atomic-replace capabilities where sufficient.
Do not introduce content, secrets, PII, tenant IDs, query/evidence text, tool arguments/results or raw exceptions into errors or runtime reports.
AUTHORIZED ACTION
Codex may create and update only the 29 paths classified under CREATE and UPDATE.
Codex may read the approved baseline, verified consumers and governing files to implement accurately.
If an approved patch anchor no longer matches, stop without guessing, editing another path, appending shadow logic or reconstructing content from memory. Return:
BLOCKED — BASELINE CHANGED — W4-ROLLBACK-001.
PROHIBITED DURING COLUMN L
Do not:
Run Ruff, MyPy, Pytest, platform validation, Make or the CLI.
Initialize or activate release state.
Introduce the N+1 regression.
Execute rollback, smoke, cleanup or teardown.
Create runtime reports, locks or temporary state.
Create or update documentation or canonical evidence.
Edit W1/W2/W3/W4 protected producer behavior.
Edit Excel or any office lock file.
Stage, commit, reset, checkout, clean, push or otherwise mutate Git.
Install/uninstall dependencies or modify the virtual environment.
Start services, containers or collectors.
Use network, provider/model, Qdrant/OpenSearch, Bedrock, Docker, registry, Kubernetes, EKS, AWS or cloud resources.
Claim PASS, FAIL, NOT RUN or INDETERMINATE execution results that the owner has not supplied.
Claim production readiness, SLO compliance, deployment, operational rollback or cloud teardown.
REQUIRED POST-EDIT HANDOFF
After writing, stop before any command execution and return:
Final CREATE/UPDATE/DELETE counts and every changed path.
Any path that remained unchanged with the reason.
Release N/N+1 identity summary and exact composition hash.
Implemented function and connection flow.
Security, privacy, failure, concurrency and cleanup behavior.
Exact owner TEST-001 topics and commands, one at a time, without executing them.
Expected result and stop condition for each command.
Rollback, smoke, cleanup and zero-residue distinction.
Business, technical, layman and interview explanations.
Confirmation that documentation, evidence, Excel and Git were unchanged.
Do not write Column M documentation until the owner completes TEST-001 and supplies a separate exact Column M approval.
After successful bounded writing, end exactly:
CODE EDIT COMPLETE — READY FOR OWNER TEST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</si>
  <si>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</si>
  <si>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</si>
  <si>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CONTENT REVIEW AND WEEKLY LEARNING — TRACKER v1.3.5
MAIN PROMPT — W5-INPUTS-001
TASK IDENTITY
Week: Week 5
Tracker step: W5-01
Feature/outcome: AWS sandbox non-secret input approval
Business purpose: Establish the exact AWS account, region, networking, ownership, tagging, privacy, cost, encryption, GitHub OIDC and Bedrock boundaries before Terraform design or AWS activity begins.
Task type: Governed content and input-definition task
Primary required owner inputs: AWS-001, AWS-002, NET-001, TAG-001, COST-001, PRIV-001, KMS-001, GHA-001 and BED-001
Future inputs to identify but not prematurely approve: EKS-001, OBS-001 and SLO-001
Planned bounded outputs:
infra/environments/sandbox/terraform.tfvars.example
docs/cost-estimates/W5-inputs.md
Expected outcome: A complete, internally consistent, non-secret input contract ready for owner review. No Terraform implementation, validation, plan, apply, destroy or AWS access occurs.
Next approval position: Separate exact Column L Content Edit Approval after Gate 1 and all edit-blocking owner decisions are resolved.
INITIAL EXECUTION INSTRUCTION
When this Main Prompt is first invoked, perform Gate 1 only.
Gate 1 is read-only. Do not create, edit, delete, install, download, test, lint, format, build, initialize Terraform, validate Terraform, plan, apply, deploy, roll back, destroy, contact AWS, contact Bedrock/OpenSearch/EKS, contact GitHub, start Docker, change Excel or mutate Git. Do not stage, commit or push.
An open Excel process, workbook change or Office ~$ lock file is owner-controlled, excluded and non-blocking. Do not request an owner decision about it.
Never infer an owner value from a placeholder, historical status, implementation default, environment variable example, local AWS profile or prior command output. Never request, display or store an AWS access key, secret key, session token, password, private key, GitHub token, Bedrock credential or any other secret.
SOURCE PRECEDENCE AND GOVERNING AUTHORITY
Apply the repository's approved source precedence exactly:
Enterprise AI Architecture Source of Truth v1.1.
Approved ADRs and owner decision records.
Coaching and learning records.
Owner-approved TRACKER v1.3.5.
Approved feature requirements, configuration and implementation evidence.
Use the current repository contents, owner-approved evidence and final closure records to establish implementation facts. Tracker cells that predate later final approval are historical planning facts, not authority to reopen completed work or claim a missing control is complete.
Report every conflict. Do not silently reconcile it.
CURRENT OWNER-SUPPLIED IMPLEMENTATION AND TEST CONTEXT
Gate 1 must verify these facts against the current repository before relying on them. If a referenced record is absent, changed or contradictory, report it rather than inventing a replacement.
Week 1
The repository, typed configuration, health boundary, test foundation, controlled CLI, approval boundaries, reversibility controls, tags and foundational ADRs were implemented and owner-approved through their recorded workflows.
TAG-001 previously recorded these values:
Owner = Gyan-Prakash-Rai
CostCenter = Personal-Learning
Repository = enterprise-ai-platform
ExpiresAt = 2026-09-27T23:59:59Z
These tag values must be presented for owner reconfirmation. Their historical approval does not automatically extend the expiry date.
AWS-002 historically approved an AWS-first architecture boundary, but it did not conclusively approve the exact Week 5 AWS region, current Bedrock model availability, OpenSearch availability, quotas or deployment-time service access. Those remain W5-INPUTS-001 decisions.
W1-08 / SEC-003 must not be treated as complete merely because the tracker says Done/PASS. The owner has established that the canonical pre-commit control remains pending until repository-wide formatting, reviewed secret findings, the all-files hook run, synthetic-secret rejection, evidence and final closure pass.
The current W1-08 remediation is a separate controlled task. It does not authorize W5 editing and must not be folded into this two-file content boundary.
Week 2
Provider-neutral models, embedding, ingestion, retrieval, tenant/classification/ACL authorization, fake/local Qdrant behavior and OpenSearch adapter boundaries were implemented and owner-tested through approved local workflows.
Week 2 established the local/provider-neutral contracts needed by later RAG consumers.
Live AWS OpenSearch, production identity, production data, cloud deployment and production performance remain unproven unless a newer exact owner record says otherwise.
No Week 2 local or fake PASS may be converted into AWS service-availability approval for Week 5.
Week 3
Cited RAG, deterministic evaluation, guardrails and RAG configuration rollback were implemented, owner-tested, documented and final-approved.
The protected W3-002 immutable evaluation baseline exists and future Gate 1 inspection must verify its exact identity rather than regenerate or modify it.
The recorded Week 3 closure included the ordinary-suite progression ending at 465 passed, with accepted skips/deselections/warnings as recorded in its evidence.
Live Bedrock/model evaluation, external judge execution, production performance and cloud deployment remained NOT RUN. Therefore BED-001 still requires exact Week 5 owner values and deployment-time verification.
Week 4
The API and authorization boundary, bounded agent workflow, human approval, budgets, redacted durable state, vendor-neutral telemetry, negative-path tests, bounded local load test and immutable release rollback were implemented and owner-tested.
W4-001, W4-002, W4-003, W4-09, W4-10 and W4-ROLLBACK-001/W4-004 closure facts must be read from their final-approved evidence rather than the tracker's stale Not Started cells.
The latest reported Week 4 full ordinary suite passed with 724 passed, 7 skipped and 4 deselected.
Release rollback restored the known-good local version and passed its smoke and zero-residue checks, as recorded in the approved W4 rollback evidence.
The accepted Starlette/httpx deprecation warning remains a warning, not a failure and not a production-readiness claim.
Week 4 testing was local and deterministic. Live identity, live model/vector services, collector runtime, cloud deployment, production capacity, operational rollback and infrastructure teardown remained NOT RUN unless a later exact owner record proves otherwise.
W4 checkpoint/sign-off and learning records were subsequently completed and owner-approved. Gate 1 must verify their current exact paths and content. The tracker cells that still show W4-12 or W4-13 as Not Started are stale and must not block W5-INPUTS-001 if current final-approved records prove closure.
AUTHORITATIVE W5-01 BUSINESS CONTRACT
W5-01 confirms the sandbox account, region, network, tags, data residency and budget ceiling before Terraform design.
Business reason: Terraform cannot be safely reviewed when account ownership, network ownership, deletion boundaries, privacy rules or cost limits are ambiguous.
Acceptance requires:
Every required value is either explicitly owner-approved or clearly labelled unresolved.
No unresolved code-blocking value is disguised as an approved default.
No credential or secret is requested, stored or displayed.
Shared and project-owned resources are distinguishable.
Terraform destruction authority is explicitly bounded.
Cost, residency, KMS, GitHub OIDC and Bedrock decisions have an identified owner and verification point.
The two approved files agree exactly.
Terraform and AWS activity remain prohibited.
Dependency: current final-approved W4 checkpoint and Week 4 learning closure, corresponding to tracker dependency W4-13.
Downstream consumers include W5-02 through the remaining Week 5 Terraform, policy, identity, plan, supply-chain, rollback and teardown steps, plus W5-13 and Week 6 deployment preparation. Gate 1 must identify the exact current tracker dependencies rather than infer new ones.
INCLUDED SCOPE
W5-INPUTS-001 captures and reconciles the following non-secret decisions.
1. AWS account and execution boundary — AWS-001
Twelve-digit sandbox account ID as a non-secret value.
Human-readable account purpose and owner.
Confirmation that it is a sandbox/learning account, not production.
Approved identity mechanism for later owner execution.
Explicit prohibition on access keys, secret keys or session tokens in either output file.
The future Terraform and AWS commands remain owner-executed under later approvals.
2. Region and service availability — AWS-002
Exact primary AWS region.
Allowed fallback region, or None.
Data-residency compatibility.
Deployment-time availability checks required for Bedrock, OpenSearch, EKS, KMS, S3, DynamoDB and other planned services.
Clear separation between an architecture preference and proven account-level service access/quota.
3. Network ownership and connectivity — NET-001
existing_shared or project_owned network mode.
VPC ID and private subnet IDs when using an existing network.
Proposed VPC and subnet CIDRs only when the project will own them.
DNS requirements.
Approved egress model.
Required VPC endpoints/private service connections.
Whether NAT Gateway cost is permitted.
Public ingress and public subnet policy.
Shared-resource destruction prohibition.
Network owner and escalation contact/role, without personal secrets.
4. Mandatory tags and expiry — TAG-001
Owner.
CostCenter.
Repository.
ExpiresAt in ISO-8601 UTC form.
Environment and Project tags if required by existing policy.
Reconfirmation or replacement of the historical approved values.
Expiry follow-up owner and extension rule.
5. Cost controls — COST-001
Monthly sandbox ceiling in USD.
Daily cost-alert threshold in USD.
Maximum paid model/evaluation spend in USD.
Budget notification destination/owner.
Cost-bearing service approvals, including NAT Gateway, EKS, OpenSearch and Bedrock.
Stop-work or teardown trigger when a threshold is reached.
Explicit statement that local CPU, disk, bandwidth and owner time are not automatically USD 0.
6. Privacy and data residency — PRIV-001
Allowed AWS regions.
Prohibited regions.
Permitted data classifications.
Whether PII or production data is prohibited in the sandbox.
Third-party/model-provider processing restrictions.
Retention and deletion expectations for sandbox data, logs, traces and evidence.
Cross-border processing restrictions, if any.
Owner of later privacy confirmation.
7. KMS lifecycle — KMS-001
KMS deletion window from 7 to 30 days.
KMS follow-up owner.
Whether a customer-managed key is required.
Alias/name convention.
The accepted lifecycle fact that PendingDeletion may be the only approved residual after teardown, subject to exact owner policy and later evidence.
8. GitHub and OIDC naming — GHA-001
GitHub organization/user namespace.
Repository name.
Protected environment name.
OIDC provider/role naming convention.
Allowed branch or ref boundary.
Future plan/apply approval boundary.
No token, secret or credential value.
9. Bedrock boundary — BED-001
Exact approved Bedrock model ID.
Region.
Model access status: approved, pending verification or unavailable.
Quota/concurrency expectation.
Maximum token and spend boundary inherited from approved application controls.
Fallback policy: explicit model, safe abstention/disablement or None.
Prohibition on silently switching to an external provider.
Live invocation remains NOT RUN.
10. Future Week 5/6 inputs
Identify without prematurely approving:
EKS-001: existing/new cluster, namespace, domain/certificate and workload identity.
OBS-001: operational alert destination, on-call owner and production telemetry retention. The implemented local OpenTelemetry boundary does not supply these deployment values.
SLO-001: production/pre-production SLIs, SLOs, exclusions and error-budget review cadence. Local performance evidence is not a production SLO.
EXCLUDED SCOPE
Terraform modules, providers, backends, resources, outputs, state or executable variable declarations beyond the exact non-secret example file.
terraform init, fmt, validate, plan, apply, destroy, import, state manipulation or provider download.
AWS CLI/SDK/API calls, caller-identity checks, service-quota checks or resource discovery.
GitHub API/workflow changes, OIDC creation or repository/environment mutation.
Docker, Kubernetes, EKS, Qdrant, OpenSearch, Bedrock, collector or model execution.
Application code, schemas, automated tests, dependencies, Makefile, feature matrix, CI workflows, documentation indexes, evidence files and Excel tracker changes.
Credential creation, inspection, storage or transmission.
Deployment, rollback, teardown or cloud-resource cleanup.
Git staging, commit or push.
W1-08/SEC-003 remediation.
PROPOSED TWO-FILE CONTENT CONTRACT
The following is a proposal for Gate 1 reconciliation, not authority to write it unchanged.
infra/environments/sandbox/terraform.tfvars.example
This file is IaC-adjacent non-secret configuration content. It is not a Terraform resource implementation and grants no execution authority.
Gate 1 must determine whether downstream variable names already exist. If they do not, label these names PROPOSED and ask the owner to approve them before Column L:
aws_account_id
aws_region
aws_fallback_region
network_ownership_mode
vpc_id
private_subnet_ids
vpc_cidr
private_subnet_cidrs
dns_domain
egress_mode
vpc_endpoint_services
allow_public_ingress
allow_nat_gateway
mandatory_tags
allowed_data_regions
permitted_data_classifications
monthly_budget_usd
daily_budget_alert_usd
max_paid_evaluation_usd
kms_deletion_window_days
kms_follow_up_owner
github_organization
github_repository
github_environment
github_oidc_role_name
github_allowed_ref
bedrock_model_id
bedrock_region
bedrock_access_status
bedrock_fallback_policy
Rules:
Use explicit TODO_OWNER placeholders only for unresolved values.
A placeholder must never be described as approved.
Use empty lists or null only when the owner explicitly selects that semantic meaning; do not use them to hide a missing decision.
Account IDs and resource identifiers are non-secret but must still be minimized and handled as owner-controlled configuration.
No credential-like field may exist.
The file must contain a conspicuous no-secrets warning.
Shared identifiers must be paired with a prohibition on Terraform ownership/destruction in the decision record.
docs/cost-estimates/W5-inputs.md
This is the authoritative business-readable owner decision record for W5-01. It should contain:
Purpose and business value.
Governing authority and source precedence.
Week 1–4 prerequisite reconciliation.
Scope and explicit exclusions.
Account and identity boundary.
Region and service-availability decision.
Network topology, ownership and destruction boundary.
Mandatory tags and expiry.
Privacy, classification and residency.
Monthly/daily/paid-evaluation cost ceilings and stop conditions.
KMS lifecycle and permitted residual.
GitHub OIDC naming and future approval boundary.
Bedrock model/quota/fallback status.
Future EKS/observability/SLO inputs.
Exact reconciliation with terraform.tfvars.example.
Risks, assumptions, warnings and unresolved decisions.
Deployment, rollback, teardown and residual-resource status: all NOT RUN/no cloud resource created for this task.
Owner review checklist.
Status: READY FOR OWNER REVIEW, not approved.
A future Final Owner Approval section reserved for Column N; no reviewer, decision or date may be invented.
GATE 1 — REQUIRED READ-ONLY REVIEW
1. Repository and baseline
Report:
Exact repository root, full HEAD, branch and complete status classification.
Current existence/classification of both target paths.
Current contents if either target exists.
Exact direct references to either target.
Current W4 checkpoint, sign-off, learning and rollback evidence paths.
Current W1-08/SEC-003 status and whether it has any explicit governing dependency on W5-01.
Protected baselines and approved evidence relevant to W5 inputs.
Owner-controlled documentation/workbook changes as excluded and non-blocking.
Do not require a clean working tree when all existing changes are owner-controlled, enumerated, preserved and outside the two-file boundary. Any unexpected application, infrastructure or target-path drift must block.
2. Prerequisite and status reconciliation
Reconcile:
Tracker W4-12 and W4-13 statuses against current final-approved W4 records.
Tracker Week 4 Not Started test rows against current final-approved evidence.
Tracker W1-08 / SEC-003 Done/PASS claims against the current pending remediation facts.
Tracker AWS-002 Done status against the still-required exact region/service-access decision.
Tracker TAG-001 Done values against current owner intent and expiry.
APP-001, RET-001 and OBS-001 planning statuses against implemented local boundaries and still-unresolved deployment values.
Do not edit the tracker. State which differences affect W5-INPUTS-001 and which are historical only.
3. Authority and reference matrix
For every proposed fact or field, list:
Owner input ID.
Governing source/ADR/decision/evidence.
Historical value, if any.
Current proposed value.
Approval status: approved, owner confirmation required, unknown or deferred.
Target file and section/key.
Direct downstream consumers.
Security/privacy/cost consequence.
Whether absence blocks Column L or only a later Terraform/cloud step.
At minimum inspect relevant current ADRs for provider boundaries, authorization, Terraform roots, saved-plan approval, manual mutations, reversibility, cleanup verification, KMS deletion, EKS target and release gates.
4. Exact path impact manifest
Return exact repository-relative paths under:
CREATE.
UPDATE.
DELETE.
VERIFIED UNCHANGED CONSUMERS.
DEFERRED.
EXCLUDED.
The intended editable maximum is the two target paths only. If either exists, classify it from current facts rather than forcing CREATE. Do not automatically broaden the boundary to variables.tf, Terraform modules, tags configuration, ADRs, evidence, indexes, tests, Makefile, feature matrix or tracker.
If a necessary third path is discovered, stop at Gate 1 and request an explicit boundary decision.
5. Schema and consistency analysis
Propose the exact key names, types, required/optional rules, ordering and placeholder semantics for terraform.tfvars.example.
Validate:
Account ID format without treating it as a credential.
AWS region syntax and allowed-region list.
Network mode enum.
IDs/CIDRs/subnet list structure.
ISO-8601 UTC expiry.
Numeric non-negative budget values and threshold relationships.
KMS deletion window 7–30 days.
GitHub/repository/environment/ref naming.
Bedrock model/access/fallback status enums.
Tag keys and non-empty values.
Exact agreement between both files.
Define rejection behavior for missing, malformed, duplicated, contradictory, expired, secret-bearing or unsupported values. This is owner content review, not an automated-test design or execution task.
6. Security, privacy and ownership review
Confirm:
No secret field/value is requested.
No AWS/GitHub/local profile is inspected.
Identity is planned as short-lived/federated.
Shared networking and later shared EKS resources are non-destroyable by this project.
Public exposure defaults to prohibited unless explicitly approved.
Data classifications and residency are explicit.
Bedrock/provider fallback cannot silently cross the approved provider/residency boundary.
Evidence and documents contain no raw credential, protected content or unnecessary PII.
7. Cost and lifecycle review
Explain:
Which future services can incur idle or request-based cost.
Monthly, daily and paid-evaluation ceiling relationships.
Who receives alerts and who stops work.
The difference between planning a budget and proving actual AWS Budgets configuration.
Why this task creates no AWS cost or cloud resource.
Why local owner time, disk and bandwidth are not automatically recorded as USD 0.
Future rollback, destroy and residue boundaries.
KMS PendingDeletion lifecycle and follow-up ownership.
8. Owner content-review guide
Provide a non-executable review order:
Confirm governing authority and completed Week 4 prerequisite.
Review account and region.
Review network ownership and destruction boundary.
Review tags and expiry.
Review privacy/residency.
Review cost ceilings and stop conditions.
Review KMS lifecycle.
Review GitHub OIDC names.
Review Bedrock status/fallback.
Compare every Markdown fact with the corresponding Terraform-example key.
Confirm no credential/secret value exists.
Confirm all unresolved values remain clearly unresolved.
For each stage state the expected content, risk and stop condition. Do not provide Terraform, AWS, GitHub, Docker, deployment or test commands.
9. Failure, correction, rollback and closure
Missing or conflicting owner inputs stop Column L.
A changed target or governing authority returns BLOCKED — BASELINE CHANGED — W5-INPUTS-001.
A possible secret returns BLOCKED — POSSIBLE SECRET IN INPUT — W5-INPUTS-001. without reproducing it.
An incomplete W4 prerequisite returns BLOCKED — W4 PREREQUISITE NOT PROVEN — W5-INPUTS-001.
An inaccurate content draft is corrected only through a new bounded content approval.
Rollback before commit is removal of new uncommitted files or restoration of prior target contents by the owner under an approved boundary.
No cloud rollback or teardown exists because no cloud resource is created.
Column M and Column N must preserve all unresolved, NOT RUN and deferred facts.
10. Consolidated owner decisions
Ask once for every unresolved input. Use a table containing exact decision, recommendation, alternative/trade-off and gate impact.
At minimum include:
Current repository and governing baseline acceptance.
Confirmation that current W4 checkpoint and learning closure satisfy W4-13.
Whether pending W1-08/SEC-003 may proceed in parallel with this document-only task and whether it must close before W5-02 code approval.
Exact sandbox account ID and account purpose/owner.
Exact primary and fallback AWS regions.
Service-access status and later verification owner.
Network ownership mode.
Existing VPC/subnet IDs or proposed owned CIDRs.
DNS, ingress, egress, NAT and endpoint policy.
Explicit shared-resource destroy prohibition.
Mandatory tag values and expiry reconfirmation/replacement.
Permitted data classes, PII policy and allowed/prohibited regions.
Third-party/provider processing restrictions and retention/deletion expectations.
Monthly ceiling, daily alert and maximum paid-evaluation spend.
Cost-alert destination/owner and stop-work trigger.
KMS key type, deletion window and follow-up owner.
GitHub organization/repository/environment/OIDC role/ref naming.
Bedrock model ID, region, access status, quota and fallback.
Exact Terraform-example key names and ordering.
Whether future EKS-001, OBS-001 and SLO-001 remain deferred as proposed.
Exact two-file CREATE/UPDATE classification after preflight.
Confirmation that the output is an input/decision record—not Terraform approval, AWS-access approval, deployment evidence or production-readiness evidence.
GATE 1 RESPONSE REQUIREMENTS
Return:
Business outcome and measurable acceptance.
Governing baseline and Week 1–4 reconciliation.
Input authority and downstream-consumer matrix.
Exact proposed two-file content/schema contract.
Exact CREATE/UPDATE/DELETE/VERIFIED UNCHANGED/DEFERRED/EXCLUDED manifest.
Security, privacy, cost, ownership and lifecycle analysis.
Owner content-review guide with no commands.
Failure, correction, rollback and closure boundary.
Consolidated owner decisions.
Differences between this revised prompt and the existing tracker prompt.
Do not provide Column L until every edit-blocking decision is resolved and the target paths plus direct references are re-read.
COLUMN L POSITION — LATER SEPARATE APPROVAL
Column L will be a separate exact Content Edit Approval. It may authorize only the current classifications of:
infra/environments/sandbox/terraform.tfvars.example
docs/cost-estimates/W5-inputs.md
Column L must bind to the current repository baseline, exact owner decisions, exact key schema, exact target sections and complete unchanged/deferred/excluded manifest.
Column L must not authorize command execution, automated tests, Terraform, AWS access, GitHub mutation, documentation outside the two-file manifest, Excel or Git mutation.
The bounded edit must leave the decision record at READY FOR OWNER REVIEW. It must not invent final approval.
CONTENT REVIEW, COLUMN M AND COLUMN N
This task uses owner content review rather than TEST-001 command execution.
After Column L:
Codex returns the exact changed-path manifest and explains the fields and decisions.
The owner reviews the two files for accuracy, completeness, secrecy, cost, residency, ownership and internal consistency.
No Terraform or AWS command is required or permitted to approve the content record.
Column M must be reconciled with Column L classifications. If Column L created the two files, Column M must not falsely classify the same creation event again. It may authorize exact UPDATEs required to record owner review facts, or list a file VERIFIED UNCHANGED when no content change is required. Every Column M document must then be included in Column N.
Column N must record owner-supplied reviewer, role, exact decision, timestamp/timezone, accepted risks, unresolved values, limitations, deferrals, NOT RUN activities, lifecycle facts and conditions in every Column M document. Only after complete reconciliation may the owner update the tracker.
LEARNING HANDOFF
At the end of the approved content edit, explain:
Business summary.
Technical importance.
Layman analogy: a signed travel/building authorization before booking or construction.
Decision recap and alternatives.
Security/privacy/cost implications.
Failure and correction story.
Five interview questions with answer points.
Do not claim that Terraform, AWS, GitHub OIDC, Bedrock, OpenSearch, EKS, monitoring, deployment, rollback or teardown was implemented or tested by W5-INPUTS-001.
REQUIRED ENDING
If Gate 1 succeeds, end exactly:
READY FOR PRE-EDIT REVIEW — W5-INPUTS-001.
If required authority or owner input is missing, end exactly:
BLOCKED — REQUIRED OWNER INPUT MISSING — W5-INPUTS-001.
If the repository or governing baseline has materially changed, end exactly:
BLOCKED — BASELINE CHANGED — W5-INPUTS-001.</t>
  </si>
  <si>
    <t>READY FOR PRE-EDIT REVIEW — W5-INPUTS-001</t>
  </si>
  <si>
    <t>COLUMN L — COMPLETE BOUNDED CONTENT EDIT APPROVAL — W5-INPUTS-001
OWNER AUTHORIZATION
I approve the bounded W5-INPUTS-001 content edit for tracker step W5-01.
Use the complete owner-supplied and accepted D1–D22 decision set already recorded in this thread. This approval does not authorize Codex to infer, replace, normalize or supplement any owner value.
Where earlier recommendations conflict with a later owner decision, the latest owner decision governs.
FINAL D5 RECONCILIATION
The following values are approved and supersede the earlier Singapore-only processing recommendation:
- Primary Region: ap-southeast-1
- Fallback Region: null
- Allowed data-region policy: Global Cross-Region
- Cross-region processing: allowed
- Silent model substitution: prohibited
- Silent provider substitution: prohibited
- Silent application-region or fallback-region substitution: prohibited
- Account access, service availability and quota verification status: pending_verification
“Global Cross-Region” is an owner-approved policy label. Do not invent, enumerate or approve concrete destination AWS Regions. Bedrock controls destination selection within its Global inference profile.
D12 AND D18 ALIGNMENT
Preserve the exact accepted privacy, classification and Bedrock decisions, including:
- AWS client and primary Region: ap-southeast-1
- Application fallback Region: null
- Bedrock inference-profile ID: global.amazon.nova-2-lite-v1:0
- Underlying model identity: amazon.nova-2-lite-v1:0
- Inference mode: Global Cross-Region
- Model lifecycle status: Active, subject to Gate 2 source revalidation
- Bedrock access status: pending_verification
- AWS quota status: pending_verification
- Automatic model/provider fallback: none
- Maximum RAG output: 512 tokens
- Existing application concurrency, timeout and retry ceilings remain unchanged
- Only owner-approved synthetic, non-production data classifications may be used
- Credentials, PII, restricted data, production data and real tenant content are prohibited
- No live invocation, access verification, quota verification or cost-bearing activity is authorized by this Column L approval
If the accepted D19 schema uses a dedicated data-region-policy field, serialize the exact approved policy label there.
Do not place “Global Cross-Region” into a field whose approved validator requires an AWS Region identifier. If the final D19 record does not define an unambiguous serialization for this policy, edit nothing and return:
BLOCKED — OWNER INPUT SCHEMA CONFLICT — W5-INPUTS-001.
BUSINESS PURPOSE
Create the approved non-secret contract between the sandbox owner and later Terraform design.
The two outputs must clearly define:
- AWS account and human-access boundary
- Primary and fallback Region decisions
- Network ownership and destruction boundary
- Private networking and egress policy
- Mandatory tags and expiry controls
- Data classification, residency and processing policy
- Budget ceilings, alerts and stop-work authority
- KMS lifecycle and residual-resource ownership
- GitHub OIDC identifiers and trust boundary
- Exact Bedrock model/inference-profile decision
- Pending service-access and quota verification
- Deferred EKS, observability and SLO decisions
These files are inputs to later infrastructure design. They are not Terraform implementation, AWS access, deployment approval or production-readiness evidence.
GOVERNING BASELINE
Gate 1 recorded:
- Repository: E:\AI\enterprise_ai_platform
- Branch: main
- Reviewed HEAD: 0bc402ecf241121bb82e27c029b1d84ca76a7ca7
- Both CREATE targets: absent
- UPDATE targets: none
- DELETE targets: none
- Protected W3-002 baseline SHA-256:
  4bbc8f24af911ba09356196e9285d261549926c713110f9549929e1e4ac9086f
- Source of Truth SHA-256:
  D4CE5C6D2CBBA3704E8F7F385EDEB16573CF21E009B1BF7E87914BACE03FB04F
- Owner Decision Compendium SHA-256:
  D738D4D9760930BF19CB8325AA66F963B2729EF999D24D75977698209DB1D216
- Tracker SHA-256:
  C4DFF3E2E87DBFC08782E30FF7CD9295A4B0D51EA3B613C268B765DEFF3A7153
Immediately before editing, revalidate HEAD, branch, tracked status, target existence, governing documents and the complete accepted D1–D22 record.
Excel being open and an associated ~$ lock file are non-blocking, owner-controlled and excluded. An uncommitted owner workbook change is not a new owner decision and must not be modified.
If HEAD, authority, target classification, protected hashes or owner decisions have materially changed, edit nothing and return:
BLOCKED — BASELINE CHANGED — W5-INPUTS-001.
EXACT APPROVED PATH MANIFEST
CREATE — exactly 2:
- infra/environments/sandbox/terraform.tfvars.example
- docs/cost-estimates/W5-inputs.md
UPDATE — exactly 0:
- None
DELETE — exactly 0:
- None
VERIFIED UNCHANGED CONSUMERS
- docs/governance/Enterprise_AI_Architecture_6_Week_Execution_Tracker_v1.3.5.xlsx
- docs/governance/Enterprise_AI_Architecture_Source_of_Truth_v1.1.docx
- docs/governance/Owner_Decision_Compendium_Weeks_1_to_4.docx
- docs/adr/ADR-000-source-precedence.md
- docs/adr/ADR-002-provider-boundaries.md
- docs/adr/ADR-003-vector-stores.md
- docs/adr/ADR-004-bedrock.md
- docs/adr/ADR-006-authorization.md
- docs/adr/ADR-008-otel.md
- docs/adr/ADR-009-terraform-roots.md
- docs/adr/ADR-010-saved-plan.md
- docs/adr/ADR-011-manual-mutations.md
- docs/adr/ADR-012-reversibility.md
- docs/adr/ADR-013-cleanup-verification.md
- docs/adr/ADR-014-kms-deletion.md
- docs/adr/ADR-016-feature-cycle.md
- docs/adr/ADR-017-release-gates.md
- docs/deployment-records/W4-signoff.md
- docs/learning/W4-learning-review.md
- docs/rollback-records/W4-release.md
- docs/deployment-records/W1-signoff.md
- docs/test-evidence/W1-08-precommit.txt
- docs/architecture/data-classification.md
- docs/architecture/retention.md
- docs/cost-estimates/budget.md
- configs/pii-policy.yaml
- configs/eval/baselines/w3-002-v1.json
- configs/eval/golden.jsonl
- feature-matrix.yaml
- .env.example
- tools/platformctl/contracts.py
- src/enterprise_ai_platform/config.py
- src/enterprise_ai_platform/llm/factory.py
- infra/environments/sandbox/main.tf
- infra/environments/sandbox/versions.tf
DEFERRED
- infra/environments/sandbox/variables.tf
- configs/tags.yaml
- docs/architecture/privacy.md
- docs/architecture/slo.md
- deploy/k8s/values-sandbox.yaml
- docs/adr/ADR-015-eks.md
- EKS-001 implementation inputs
- OBS-001 production observability inputs
- SLO-001 production reliability targets
- Terraform modules, providers, backend and policy implementation
- GitHub Actions workflow implementation
- AWS access and service-availability verification
- Bedrock access, quota and live-model verification
- Terraform initialization, validation, planning, application and destruction
- Deployment, rollback, teardown and evidence closure
EXCLUDED
Every repository path not listed under CREATE.
In particular, do not modify:
- Application code
- Terraform executable declarations or modules
- Tests
- Dependencies
- Feature matrix
- ADRs
- Existing evidence
- Tracker workbooks
- Git metadata
- Runtime or cache paths
AUTHORIZED CONTENT
1. Create terraform.tfvars.example using the exact owner-approved D19 key names, ordering, types and values.
2. Create W5-inputs.md in business-first language containing:
   - Purpose and business value
   - Governing authority
   - Week 1–4 prerequisite reconciliation
   - Scope and exclusions
   - AWS account and identity boundary
   - Primary Region and fallback decision
   - Global Cross-Region Bedrock-processing approval
   - Network ownership, topology and destruction boundary
   - Mandatory tags and expiry policy
   - Privacy, classification, retention and deletion policy
   - Budget ceilings, alert destination and stop-work authority
   - KMS lifecycle and follow-up ownership
   - GitHub OIDC naming and trust boundary
   - Nova 2 Lite model and inference-profile identity
   - Access and quota status as pending_verification
   - Deferred EKS, observability and SLO inputs
   - Risks, assumptions, warnings and limitations
   - Deployment, rollback and teardown as NOT RUN
   - Owner review checklist
   - Status READY FOR OWNER REVIEW
   - Reserved Final Owner Approval section with no invented approval
3. Reproduce every shared decision identically in both files.
4. Preserve account IDs and other approved non-secret identifiers exactly, but never add credentials, access keys, tokens, role sessions, secrets or live authentication material.
5. Use TODO_OWNER only for an item explicitly approved as unresolved and deferred. Do not use it for any decision the owner has supplied.
6. Do not present pending_verification as approved service access or quota evidence.
VALIDATION BEFORE COMPLETION
Read both created files and confirm:
- Exactly two approved paths were created.
- No other path changed.
- Both files contain the complete accepted owner decisions.
- Shared values match exactly.
- The Global Cross-Region policy is recorded without invented destination Regions.
- The model invocation value is global.amazon.nova-2-lite-v1:0.
- No silent fallback is described.
- No credential-like field or value exists.
- No unresolved value is described as approved.
- No Terraform or AWS action is claimed.
- Deployment, rollback and teardown remain NOT RUN.
- The documents remain READY FOR OWNER REVIEW.
- No reviewer name, final decision or approval timestamp is invented.
If possible secret material is encountered, do not reproduce it. Edit nothing further and return:
BLOCKED — POSSIBLE SECRET IN INPUT — W5-INPUTS-001.
PROHIBITED ACTIONS
Do not:
- Run Terraform
- Access AWS or Bedrock
- Invoke a model
- Verify quotas through AWS
- Install or download anything
- Run tests, lint, formatting or builds
- Create infrastructure
- Create or modify GitHub OIDC resources
- Deploy, roll back or tear down anything
- Edit Excel
- Stage, commit or push
- Write Column M or Column N documentation
- Modify any path outside the two CREATE targets
MANDATORY COMPLETION RESPONSE
Return:
1. Exact CREATE/UPDATE/DELETE counts.
2. One row per created file with its purpose.
3. Confirmation that both files contain matching owner decisions.
4. Confirmation that no credential or secret was written.
5. Confirmation that no AWS, Bedrock, Terraform, network or paid activity occurred.
6. Risks, limitations, pending_verification facts and deferred inputs.
7. Complete post-edit path-boundary status.
8. The next required owner content-review action.
End exactly:
CONTENT READY FOR OWNER REVIEW — W5-INPUTS-001.</t>
  </si>
  <si>
    <t>COLUMN M — EXACT DOCUMENT RECONCILIATION APPROVAL — W5-INPUTS-001
PURPOSE
This is the separate Column M approval following the completed W5-INPUTS-001 Column L content edit.
The two approved files already exist because they were created under Column L. Do not attempt to create replacement files or classify them as unexpected existing targets.
Their lifecycle classification remains CREATE relative to the approved pre-Column-L repository baseline.
TASK IDENTITY
- Prompt ID: W5-INPUTS-001
- Tracker step: W5-01
- Task type: Business-input and configuration-contract documentation
- Column L result: CONTENT READY FOR OWNER REVIEW
- Column L manifest: 2 CREATE, 0 UPDATE, 0 DELETE
- Automated testing: NOT RUN and not required for this content task
- AWS/Terraform execution: NOT RUN
- Final owner approval: Pending Column N
EXACT COLUMN M DOCUMENT MANIFEST BOUNDARY
CREATE — exactly 2, already created under Column L:
1. infra/environments/sandbox/terraform.tfvars.example
2. docs/cost-estimates/W5-inputs.md
UPDATE — exactly 0 relative to the approved baseline:
- None
DELETE — exactly 0:
- None
VERIFIED UNCHANGED:
- No additional documentation path is required.
- Existing governing documents and repository consumers must remain unchanged.
EXCLUDED
Every repository path not listed under CREATE is excluded, including:
- docs/test-evidence/README.md
- Application code
- Automated tests
- Terraform variable declarations, modules, providers and backends
- Feature matrix
- ADRs
- Existing evidence and learning records
- Dependency files
- GitHub Actions workflows
- Excel trackers
- Git metadata
- AWS, Bedrock and runtime configuration
- Cache, report and temporary paths
Excel being open and any associated ~$ lock file are owner-controlled, excluded and non-blocking.
COLUMN M PREFLIGHT
Before writing or reconciling documentation:
1. Read both exact Column L output files completely.
2. Confirm both remain CREATE paths relative to the approved pre-Column-L baseline.
3. Confirm no third W5-INPUTS-001 output has been created.
4. Confirm the Terraform example contains exactly 30 keys in the owner-approved D19 order.
5. Confirm the Markdown record reproduces every shared key and value exactly.
6. Confirm the revised D19 policy is represented consistently:
   allowed_data_regions = ["Global Cross-Region"]
7. Confirm aws_region is validated independently as:
   ap-southeast-1
8. Confirm aws_fallback_region is:
   null
9. Confirm the Bedrock identities are:
   - Underlying model: amazon.nova-2-lite-v1:0
   - Runtime inference profile: global.amazon.nova-2-lite-v1:0
   - Bedrock source/client Region: ap-southeast-1
   - Access status: pending_verification
   - Quota status: pending_verification
   - Silent model/provider/region substitution: prohibited
10. Confirm no concrete Global Cross-Region destination Region has been inferred or enumerated.
11. Confirm the files contain no credential, secret, access key, token, session value or credential-like field.
12. Confirm ExpiresAt = "TODO_OWNER" is the only approved unresolved value.
13. Confirm the unresolved ExpiresAt blocks later Terraform plan/apply but does not falsely invalidate the completed W5-01 decision-record creation.
14. Confirm no AWS, Terraform, Bedrock, GitHub, deployment, rollback, teardown or paid activity is claimed.
15. Confirm the current files still match the owner-reviewed Column L versions.
If a possible secret is detected, do not reproduce it, edit nothing and return exactly:
BLOCKED — POSSIBLE SECRET IN INPUT — W5-INPUTS-001.
If either file is missing, materially changed, contradictory, outside the approved boundary or cannot be reconciled, edit nothing and return exactly:
BLOCKED — COLUMN M DOCUMENTATION PREFLIGHT FAILED — W5-INPUTS-001.
OWNER-SUPPLIED COLUMN L FACTS TO PRESERVE
Record the following facts without upgrading or reinterpreting them:
- Two files were created.
- No existing repository file was updated or deleted.
- Both files use the same approved values and key ordering.
- The Terraform example contains exactly 30 non-secret keys.
- Global Cross-Region is a processing-policy label.
- aws_region is independently set to ap-southeast-1.
- The application fallback Region is null.
- No concrete Bedrock destination Region was approved.
- No credential, secret, token or credential-like field was written.
- Amazon Nova 2 Lite is the selected model.
- The runtime identifier is global.amazon.nova-2-lite-v1:0.
- Model lifecycle was recorded as Active from the owner-reviewed AWS source.
- Account access and quota remain pending_verification.
- ExpiresAt = "TODO_OWNER" remains unresolved.
- Network compatibility and endpoint implementation remain unverified.
- Budgets and alerts are documented decisions, not proof that AWS Budgets or notifications exist.
- EKS-001, OBS-001, SLO-001 and ADR-015 remain deferred.
- Terraform implementation and GitHub OIDC implementation remain deferred.
- No AWS account access occurred.
- No Bedrock invocation occurred.
- No Terraform command was run.
- No network, deployment, rollback, teardown or paid activity occurred.
- No automated test was run for this content-only task.
- Pre-existing workbook, Office-lock and .vscode changes remained owner-controlled and unchanged.
REQUIRED CONTENT — TERRAFORM EXAMPLE
Preserve the exact 30-key contract and owner-approved ordering.
Do not:
- Add a 31st key.
- Rename an approved key.
- Convert Global Cross-Region into an AWS Region list.
- Require aws_region membership in allowed_data_regions.
- Add credentials, profile names, access keys, tokens or secret placeholders.
- Replace TODO_OWNER with an invented expiry.
- Add executable Terraform resources, variables, providers or backend configuration.
Ensure the file contains a comment-only closure block titled:
# Final Owner Approval — W5-INPUTS-001
The block must remain pending and reserve fields for:
- Reviewer
- Reviewer role
- Decision
- Approval timestamp and timezone
- Accepted risks and limitations
- ExpiresAt condition
- NOT RUN activities
- Deferred work
- Deployment status
- Rollback status
- Teardown status
- Residual resources
- Tracker update responsibility
Comments must remain valid within a Terraform tfvars example and must not change any value.
REQUIRED CONTENT — BUSINESS DECISION RECORD
Ensure docs/cost-estimates/W5-inputs.md contains:
1. Business purpose and value.
2. Governing sources and precedence.
3. Approved account and identity boundary.
4. Primary and fallback Region decisions.
5. Global Cross-Region processing policy.
6. Network ownership and destruction boundary.
7. Private networking, ingress and egress decisions.
8. Mandatory tags and expiry rules.
9. Data classification, privacy, residency, retention and deletion.
10. Monthly, daily and evaluation-cost ceilings.
11. Budget-alert ownership and stop-work authority.
12. KMS type, alias, deletion window and follow-up ownership.
13. GitHub OIDC naming and trust boundary.
14. Bedrock model and inference-profile identity.
15. Application concurrency, output, retry and timeout ceilings.
16. Access, quota and service-availability status.
17. Risks, assumptions, warnings and limitations.
18. Deferred EKS, observability, SLO and cloud-lifecycle work.
19. Exact mirror of all 30 Terraform example values.
20. Owner review checklist.
21. Deployment, rollback, teardown and residual-resource facts.
22. Status: READY FOR OWNER REVIEW.
23. Reserved section titled:
## Final Owner Approval — W5-INPUTS-001
Do not populate the reserved section with an invented reviewer, decision or date. Mark all Column N fields as pending owner confirmation.
RESULT CLASSIFICATION
Record classifications exactly:
- Column L bounded content creation: PASS
- File-count reconciliation: PASS, if verified
- Cross-file value reconciliation: PASS, if verified
- Secret/credential exclusion review: PASS, if verified
- Automated tests: NOT RUN — not required for this content task
- Terraform validation/init/plan/apply/destroy: NOT RUN
- AWS access and service verification: NOT RUN
- Bedrock access and quota verification: NOT RUN
- Bedrock inference: NOT RUN
- GitHub OIDC implementation: NOT RUN
- Deployment: NOT RUN
- Operational rollback: NOT RUN
- Cloud teardown: NOT RUN
- Open FAIL: None, unless discovered during preflight
- Open INDETERMINATE: Preserve any fact that cannot be verified
- Final owner approval: Pending Column N
Do not convert pending_verification or NOT RUN into PASS.
RISKS, LIMITATIONS AND DEFERRALS
Preserve at least these limitations:
- Global Cross-Region processing does not guarantee processing within Singapore.
- Concrete Bedrock destination Regions are not fixed by this decision record.
- Only approved synthetic, non-production data may be used.
- PII, credentials, restricted data, production data and real tenant content are prohibited.
- Model access and account quotas are unverified.
- Network endpoints and compatibility are unverified.
- Documented budget limits do not prove an AWS budget or notification exists.
- ExpiresAt remains unresolved.
- The files do not create Terraform infrastructure or authorize cloud execution.
- No production, reliability, security, cost or deployment-readiness claim is established.
LIFECYCLE AND RESIDUAL RESOURCES
Record:
- Cloud resources created: None
- Deployment performed: No
- Runtime rollback performed: No
- Cloud teardown performed: No
- AWS/provider/network activity: None
- Provider/cloud cost: None incurred by this content task
- Repository residuals: The two approved CREATE files only
- Owner-controlled pre-existing files: Preserved unchanged
- Future rollback before commit: Owner-approved removal of the two CREATE files
- Future rollback after commit: Owner-controlled Git reversal under separate authorization
MANDATORY COLUMN M OUTPUT
Return:
COLUMN M APPROVED DOCUMENT MANIFEST — W5-INPUTS-001
The manifest must contain exactly two rows, one for each CREATE path, with:
- Exact path
- Classification
- Business purpose
- Configuration/document purpose
- Owner-supplied results
- PASS, FAIL, NOT RUN and INDETERMINATE facts
- Security and privacy findings
- Risks and accepted limitations
- Evidence gaps
- Deferred actions and owners
- Network/provider activity
- Cost
- Deployment status
- Rollback status
- Teardown status
- Residual resources
- ExpiresAt status
- Fields pending Column N
- Final Owner Approval section location
- Column N closure requirement
The complete two-row Column M manifest becomes the mandatory Column N scope.
COLUMN N HANDOVER
Column N must update and close both manifest files—not only W5-inputs.md.
The owner must later provide or confirm:
- Reviewer’s exact name
- Reviewer’s role
- Exact final decision
- Approval timestamp
- Timezone
- Acceptance of risks and limitations
- Acceptance of Global Cross-Region processing
- Acceptance of all NOT RUN and pending_verification facts
- Treatment and owner of ExpiresAt
- Deferred actions and owners
- Deployment, rollback and teardown facts
- Residual-resource facts
- Approval conditions, or None
- Tracker update responsibility
PROHIBITED
Do not:
- Modify any unlisted path.
- Create another evidence or README file.
- Edit Excel.
- Run tests or Terraform commands.
- Access AWS or Bedrock.
- Verify service quotas through a live account.
- Deploy, remediate, roll back or tear down infrastructure.
- Stage, commit or push.
- Invent owner approval facts.
- Begin W5-02.
End exactly:
DOCUMENTATION READY FOR OWNER REVIEW — W5-INPUTS-001.</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</si>
  <si>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</si>
  <si>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Terraform AWS sandbox modules and Bedrock owner verification</t>
  </si>
  <si>
    <t>Produce reviewable infrastructure and prove the approved Bedrock target before deployment without storing secret material.</t>
  </si>
  <si>
    <t>Approved W5 inputs; expected AWS account, source Region, model/profile IDs, quota codes, 39-case dataset/config and cost ceiling; no credentials</t>
  </si>
  <si>
    <t>Approved Terraform and verification code/config/test changes; owner-run redacted Bedrock result; test/deployment guide and learning summary</t>
  </si>
  <si>
    <t>FOUR APPROVAL GATES PLUS OWNER TESTING AND WEEKLY LEARNING — TRACKER v1.3.5
MAIN PROMPT — W5-001
TASK IDENTITY
Week: Week 5
Prompt ID: W5-001
Feature/outcome: Terraform AWS sandbox modules plus BED-001 owner verification
Covered tracker steps: W5-02, W5-03, W5-04 and W5-05
Business purpose: Produce reviewable, secure and reversible AWS infrastructure code and prove that the exact owner-approved Bedrock target is accessible, adequately quota-backed, safe, accurate and affordable before any Terraform apply or deployment approval.
Task type: bounded implementation followed by owner TEST-001
Next approval after Gate 1: a separate exact Column L Code Edit Approval
OWNER-CONTROLLED FIRST RESPONSE — GATE 1 ONLY
On first invocation, perform a complete read-only pre-edit review only. Inspect the current repository, tracker v1.3.5, approved decisions, configurations, tests and evidence. Do not create, edit or delete anything. Do not run tests, linters, formatters, validators, installers, Terraform, applications, services, Docker, network calls, AWS APIs, Bedrock, model calls, deployment, rollback or teardown. Do not edit Excel or mutate Git. An open Excel process, an Excel ~$ lock file and an owner-controlled uncommitted workbook are excluded and non-blocking.
Never infer an owner decision, current repository fact, AWS capability, quota, price, account access, processing Region or PASS result. Report conflicts instead of silently reconciling them.
SOURCE PRECEDENCE
Use this authority order:
Enterprise AI Architecture Source of Truth v1.1.
Owner-approved ADRs and exact owner decisions.
Coaching Blueprint and approved learning records.
Authoritative tracker v1.3.5.
Approved feature requirements, configuration and evidence.
Current repository implementation and tests for implementation facts.
Newer final-approved evidence supersedes stale planning text only for the fact it proves. Historical FAIL, NOT RUN, INDETERMINATE, warning and limitation records must remain visible.
RECONCILED STARTING CONTEXT — REVALIDATE, DO NOT ASSUME
Week 1 and Week 2 established the typed Python/configuration/test foundation, provider-neutral boundaries, deterministic fakes, embedding/retrieval contracts and local retrieval controls.
W1-08 and SEC-003 were last reported PENDING because .pre-commit-config.yaml, .secrets.baseline, completed hook output and synthetic-secret rejection evidence were absent. Gate 1 must verify their current state. If still open, they do not block this read-only review or bounded offline code/static tests, but they block live AWS/paid execution, Terraform plan/apply/deployment and final cloud-readiness approval unless the owner supplies a separately governed exception.
W3-001 through W3-004 established cited RAG, deterministic evaluation, guardrails and configuration rollback. The immutable W3-002 baseline SHA-256 was recorded as 4bbc8f24af911ba09356196e9285d261549926c713110f9549929e1e4ac9086f. Gate 1 must verify it. The canonical evaluation contains 39 ordered cases: 24 ANSWERED, 12 ABSTAINED and 3 ERROR.
W4-001 and W4-002 established the API/authentication and bounded agent/approval/state contracts. W4-003 added default-off, bounded, redacted local telemetry. W4-09 and W4-10 were later implemented and owner-tested; they must not be reverted to NOT RUN by stale text. W4 rollback testing later reported a full ordinary suite of 724 passed, 7 skipped and 4 deselected, with the existing Starlette/httpx warning accepted. Gate 1 must verify current code/evidence and preserve the latest classifications without rerunning anything.
W5-INPUTS-001 created infra/environments/sandbox/terraform.tfvars.example and docs/cost-estimates/W5-inputs.md as the non-secret input and decision contract. No AWS, Bedrock, Terraform, network, deployment or paid operation was thereby proven. Gate 1 must verify their current owner-review/Column N status and classify both as protected upstream inputs.
ExpiresAt = "TODO_OWNER" was the last reported unresolved W5 input. It does not block bounded W5-001 code creation or offline/static tests. It blocks Terraform plan/apply/deployment until replaced by an approved ISO-8601 value. Gate 1 must report any later approved value rather than assuming this placeholder remains current.
AWS account access, Bedrock access, quota, live quality/security, real latency and billing-confirmed cost remain pending until owner TEST-001 evidence proves them.
OWNER-APPROVED BEDROCK DIRECTION — REVALIDATE EXACTLY
Source/client AWS Region: ap-southeast-1
Underlying model ID: amazon.nova-2-lite-v1:0
Runtime target type: inference profile
Inference profile ID: global.amazon.nova-2-lite-v1:0
Fallback Region: null
Allowed data-region policy: ["Global Cross-Region"]
Cross-region processing: allowed
Silent model, provider, target or application-Region substitution: prohibited
Account access and quota status: pending_verification
Global Cross-Region is an owner-approved processing-policy label, not a concrete AWS Region. Validate aws_region independently. Do not require ap-southeast-1 to be a member of the policy-label array. Do not infer Bedrock destination Regions, fallback behavior or residency proof.
SCOPE BY TRACKER STEP
W5-02 — STATE BOOTSTRAP AND BEDROCK VERIFICATION
Implement an isolated bootstrap root for encrypted, versioned S3 Terraform state and Terraform 1.5 DynamoDB locking.
Document newer S3 lockfile capability without replacing the approved Terraform 1.5/DynamoDB design.
Implement the provider-neutral, fail-closed BED-001 owner-verification utility and strict non-secret input/report contracts.
W5-001 performs code construction and offline/static verification. A real bootstrap plan/apply and backend creation remain W5-004 owner actions. The remote backend cannot be treated as available until separately created and verified.
W5-03 — SECURITY FOUNDATION
Implement KMS, private/versioned S3 and Secrets Manager metadata-only modules.
Do not accept, create, serialize, output or place a secret value or secret version in Terraform, variables, state, tests, reports or logs.
Encryption, public-access blocking, deletion behavior, ownership, tags and cost controls must be explicit.
W5-04 — IAM
Implement least-privilege runtime, ingestion and GitHub OIDC roles using short-lived identity.
Bind trust to the exact approved repository/environment/workload identities found in W5 inputs.
Reject wildcard action/resource unless an exact owner-approved exception records owner, rationale, scope and expiry.
Do not create access keys or store credentials.
W5-05 — AWS RETRIEVAL AND IMAGE STORAGE
Implement private, encrypted OpenSearch and immutable/scanned ECR modules.
OpenSearch must use approved VPC/subnets/security groups, TLS, encryption at rest and node-to-node, access controls, audit/service logs where supported, deletion protection and bounded cost settings.
Resolve the fine-grained-access master identity without introducing a username/password or secret value. Ask the owner if the existing inputs do not establish the IAM identity.
W5-001 must not claim a real platform plan. The W5-05 saved plan, cost review and plan evidence remain NOT RUN until the W5-004 lifecycle gate.
EXCLUDED OR DEFERRED FROM W5-001 COLUMN L
W5-06 OPA/Rego policy-pack implementation and execution; this remains W5-003.
W5-07/W5-08 GitHub Actions implementation; this remains W5-002.
W5-09 onward: bootstrap apply, saved platform plan, policy/cost approval, deployment, rollback, teardown and orphan scan; these remain W5-004 and later lifecycle gates.
Application release, EKS deployment, Kubernetes manifests and production readiness.
Live Qdrant/OpenSearch data, production identity, live ingestion and production traffic.
CloudWatch/X-Ray/OTLP export, dashboards, alerts and production SLO claims.
Excel updates, narrative evidence/documentation writing, Git staging/commit/push and any path not later enumerated in Column L.
BED-001 VERIFICATION UTILITY — REQUIRED CONTRACT
Gate 1 must inspect current paths and consumers and propose the exact manifest. The intended new boundaries are:
tools/bedrock_owner_verify.py
configs/verification/bedrock-owner-test.json
tests/unit/test_bedrock_owner_verify.py
tests/security/test_bedrock_owner_verify_security.py
tests/teardown/test_bedrock_owner_verify_cleanliness.py
The owner-generated TEST-001 output is:
reports/verification/bedrock-owner-test-result.json
The report is not a Column L source/test-code CREATE path. Gate 1 must inspect whether any intended path already exists and reclassify it accurately rather than assuming CREATE.
Input contract:
Strict canonical JSON with a fixed field set and deterministic ordering/serialization.
Include only the approved expected AWS account, external profile/role reference, source Region, target type, exact model and inference-profile IDs, allowed policy label, fallback value, explicit Service Quotas codes or an owner-approved discovery treatment, canonical 39-case dataset/config paths, inference limits, pricing identity/source/date, cost ceiling and execute_paid_tests=false by default.
Reject credentials, access keys, secret tokens, session tokens, arbitrary endpoints, unknown/duplicate/missing fields, wrong types, non-finite values, unsafe paths and silent target/Region substitution.
AWS account ID verifies identity; it never authenticates. Credentials come only from the owner’s external Boto3 default chain, AWS SSO or approved assumed role.
Owner execution sequence:
Activate the approved external Python environment.
Confirm Python and required executables resolve from that environment’s Scripts directory.
Establish task-specific external cache locations and confirm no repository cache/state path will be used.
Validate the JSON without AWS access.
With separate owner network approval, call STS and require the exact account match.
Discover and verify the exact Bedrock model/inference-profile target in ap-southeast-1; prohibit substitution.
Query the exact approved Service Quotas codes/names and compare applied values with required limits. Never guess a quota.
Only after separate owner network and paid-use approval, run one synthetic, non-sensitive Converse smoke request against the exact profile.
Run the unchanged 39-case quality/security evaluation through the approved Bedrock/RAG boundary with fixed prompt, retrieval evidence/order, authorization, guardrails, token limit, sampling, deadline and retry policy.
Write one redacted, no-overwrite classified report; then verify and remove or explicitly retain task-specific caches/report according to owner policy.
The initial comparison must use no prompt caching, intelligent routing or automatic model switching. A target that does not support the required text Converse contract needs separate adapter approval; do not silently generalize.
Report contract:
Record schema/tool version, timestamp, input/config/dataset/baseline hashes, masked account-match result, source Region, target type, exact model/profile IDs, lifecycle/access result, quota codes/names/applied/required values, network/provider activity, smoke status, request metadata, token counts, quality/security metrics and gates, latency observation, estimated cost, billing-confirmed-cost status, substitutions, warnings, limitations, caches/report retention and residual resources.
Classify every check as PASS, FAIL, NOT RUN or INDETERMINATE. Preserve historical failures and successful reruns separately.
Never include raw prompts, answers, evidence, citations, retrieved text, tenant/subject IDs, credentials, environment values, provider envelopes, exception text, stack traces or chain-of-thought.
eligible_for_owner_approval=true is permitted only when identity, exact access/target, quota, smoke, all required quality/security gates and the cost ceiling pass with no substitution or leakage. The utility cannot approve itself.
Never modify, promote, replace or relabel configs/eval/baselines/w3-002-v1.json. Live W5 evidence is a separate candidate/result record.
The utility creates no AWS resource, adds no application/provider retry and stops safely on partial failure or cancellation.
TERRAFORM CONTRACT
Use separate bootstrap and sandbox/platform roots with explicit dependency and destroy ordering.
Constrain Terraform, providers and module interfaces. Gate 1 must inspect actual repository requirements before proposing exact versions.
Owner-controlled initialization may later create a provider lockfile. Do not invent or commit one before the owner has generated and reviewed its exact checksums under separate approval.
Use external TF_DATA_DIR, plugin/cache and temporary-plan locations. Repository .terraform, state, plan binaries, credentials, crash logs and caches are prohibited.
Static validation may use terraform init -backend=false only after the owner separately approves any required provider download/network activity. An offline claim is valid only when dependencies are already approved and locally available.
Inputs and outputs must be typed, bounded, non-secret and documented. Sensitive outputs must not expose recoverable values.
Apply the mandatory owner, cost-centre, repository and expiry tags to every supported resource. Document unsupported-resource or policy exceptions explicitly.
Enforce least privilege, private networking, encryption, HTTPS, immutable images, scan-on-push, log configuration, retention, deletion protection and sandbox cost bounds.
A missing backend, owner input, account identity, Region, network value, quota, price source, exception expiry or destructive confirmation fails closed.
AUTOMATED TEST BOUNDARY
Gate 1 must discover and list exact test paths; it may not invent a repository filename. Proposed coverage must include:
Terraform formatting, validation, module/root contracts, variables, outputs, tags, dependency ordering and deletion controls.
Static Checkov coverage and any already-approved Terraform linting available in the repository.
No W5-003 OPA policy implementation or OPA PASS claim in W5-001.
Backend encryption/versioning/locking and bootstrap-before-platform constraints.
KMS/S3 privacy, Secrets Manager metadata-only, IAM trust/least privilege, private OpenSearch and ECR immutability/scanning.
Rejection of secrets, public access, wildcard privileges, unsafe deletion, unbounded cost, repository state/plan/cache and missing tags.
Strict verifier input/report schemas, canonical serialization and redaction.
Fake STS, Bedrock control-plane/runtime and Service Quotas clients; no network in ordinary tests.
Account/Region/target/quota mismatch, unavailable/unauthorized model, malformed output, timeout, cancellation, security/quality/cost failure and no silent retry/substitution.
W3 immutable-baseline and evaluator regressions; W4 API/agent/telemetry/rollback regressions affected by changed consumers.
Rollback and teardown tests proving no state, plan, report, cache, bytecode, task, process, socket or unexpected file residue.
Existing ordinary suite and repository/platform validation without weakening assertions.
MANDATORY GATE 1 RESPONSE
Return one decision-oriented report with these sections:
Business outcome and measurable acceptance.
Governing baseline: current HEAD/branch/status; source and protected hashes; current W1-08/SEC-003, W3, W4 and W5-INPUTS facts; tool/dependency versions; caches/residue; unresolved facts. Do not treat Excel/open-workbook state as blocking.
Tracker and prerequisite reconciliation: W5-01 through W5-05, accepted model/Region/policy values, ExpiresAt, BED-001 access/quota status and later-task ownership.
Producer-consumer impact matrix for every Terraform module/root, variable/output, CLI/schema/report field, dependency, feature record, validator, fixture, test and operational consumer.
Function, data, control, trust and network map: local/static path; verifier STS/control/quota/runtime/evaluation path; Terraform future plan/apply path; errors, timeouts, retries, cancellation, identity, state and cleanup.
Schema/serialization/fixture analysis, including malformed, missing, duplicate, reordered, unexpected and modified cases.
Dependency/runtime API analysis covering Python/Boto3/evaluator contracts, Terraform/providers, Checkov and existing configured tools; identify downloads/network/caches and deprecated APIs.
Exact path manifest: CREATE, UPDATE, DELETE, VERIFIED UNCHANGED CONSUMERS, DEFERRED and EXCLUDED. Use repository-relative file paths only, one classification per path, with exact symbols/sections and reasons. No wildcard or directory-only approval entries.
Complete automated-test design: exact paths and positive/negative/security/rollback/teardown coverage, fake versus real boundaries and expected classifications.
Planned Owner TEST-001 guide. Provide commands together in final order, each with topic, purpose, expected output, access/network/privacy/cost/cache effect and stop condition. The owner later runs one command at a time. Begin with external-environment activation and executable/cache verification. Separate offline/static, read-only AWS, paid Bedrock, Terraform lifecycle and cleanup commands.
Security, privacy, residency, reliability, cost, rollback, teardown and residual-resource analysis.
Consolidated owner decisions: ask all still-unapproved decisions once, with recommendation, alternative/trade-off and exact gate impact. Reuse approved values and do not re-ask them.
COLUMN L READINESS RULES
Gate 1 may recommend Column L only when:
Every CREATE/UPDATE/DELETE path and every material unchanged consumer is reconciled.
All code-edit-blocking decisions are resolved.
Existing W5 inputs are sufficient for code/static tests, with placeholders confined to non-runtime examples.
W1-08/SEC-003 status and its live-cloud gate impact are explicit.
The Bedrock schema, quota-code/discovery treatment, price source/date, live-test boundary, report/cache retention and non-Converse behavior are exact.
Terraform plan/apply/deployment and W5-003 OPA work remain outside Column L.
Do not make the still-unresolved ExpiresAt value or pending live AWS evidence block bounded code/static tests. They must block the later activity that requires them.
TEST-001 GOVERNANCE
Codex supplies guidance only. The owner activates environments, installs/downloads with separate approval, runs every command, reviews output, authorizes network/paid/cloud access and performs remediation, rollback and teardown.
Commands are executed one at a time. Stop on the first unexpected FAIL or INDETERMINATE result, network/provider contact, cost, file mutation or residue.
After failure, perform complete read-only root-cause and producer-consumer analysis. No remediation is authorized until the owner approves one consolidated bounded remediation manifest.
Preserve PASS, FAIL, NOT RUN and INDETERMINATE exactly. A later PASS does not erase a historical FAIL.
Fake/offline PASS proves only the deterministic contract. It never proves AWS access, quota, real-model quality, price, latency, residency, deployment or production readiness.
DOCUMENTATION AND EVIDENCE BOUNDARY
Do not write documentation or evidence under Gate 1 or Column L. After owner testing, a separate Column M manifest must inspect and classify the exact documentation paths. Planned canonical records are:
docs/test-evidence/W5-001.md
docs/test-evidence/W5-02-bootstrap.txt
docs/test-evidence/W5-02-bedrock-verification.txt
docs/test-evidence/W5-03-security.txt
docs/test-evidence/W5-04-iam.txt
docs/test-evidence/W5-05-platform-plan.txt
docs/test-evidence/README.md
W5-05-platform-plan.txt must record NOT RUN under W5-001 if no real plan occurred. If another tracker sheet names docs/test-evidence/W5-terraform.txt, Gate 1 must report the evidence-path conflict and request one canonical owner choice; it must not create both silently.
Column N must close every Column M document with owner-supplied reviewer, role, exact decision, timestamp/timezone, warnings, risks, gaps, limitations, deferrals, PASS/FAIL/NOT RUN/INDETERMINATE facts, deployment, rollback, teardown, residual resources, conditions and next-task handover. Only the owner updates Excel.
POST-IMPLEMENTATION LEARNING HANDOFF
After an approved bounded edit, and before TEST-001, return a task-specific handoff without claiming test results:
Business summary and measurable value.
Technical deep-dive covering state bootstrap, KMS/S3/secrets metadata, IAM/OIDC, OpenSearch/ECR and Bedrock verification.
End-to-end local, AWS-verification and future Terraform lifecycle flows.
Layman analogy.
Decision recap with alternatives, trade-offs and revisit conditions.
Security, privacy, residency, reliability, cost and lifecycle explanation.
Failure, remediation, rollback, teardown and residue distinction.
Owner duties and TEST-001 stages.
Interview-ready 30-second, two-minute and five-minute explanations plus at least five Q&amp;A covering architecture, failure, security, cost and scale.
Teach-back checklist connecting W5-001 to W3 evaluation/guardrails, W4 API/agent/telemetry and later W5/W6 deployment gates.
EXACT GATE 1 END STATES
If the repository, protected baseline or approved source materially differs: BLOCKED — BASELINE CHANGED — W5-001.
If a code-edit decision remains unresolved: BLOCKED — OWNER DECISIONS REQUIRED — W5-001.
If the complete impact review is ready for owner review but Column L has not been supplied: READY FOR PRE-EDIT REVIEW — W5-001.
INITIAL EXECUTION INSTRUCTION
When this Main Prompt is first invoked, perform Gate 1 only. Make no change and run no test or external activity. End with the exact applicable Gate 1 status above.</t>
  </si>
  <si>
    <t>READY FOR PRE-EDIT REVIEW — W5-001</t>
  </si>
  <si>
    <t>W5-02, W5-03, W5-04, W5-05</t>
  </si>
  <si>
    <t>COLUMN L — COMPLETE BOUNDED CODE EDIT APPROVAL — W5-001
APPROVED TASK CONTRACT
- Prompt and tracker steps: W5-001 / W5-02, W5-03, W5-04, W5-05
- Business purpose: Produce reviewable infrastructure and prove the approved Bedrock target before deployment without storing secret material.
- Architecture and design: Separate Terraform bootstrap and sandbox roots compose KMS, storage, secret metadata, IAM, OpenSearch and ECR modules; a separate fail-closed Python utility verifies AWS identity, exact Bedrock target, account quotas, quality, security and cost through owner-controlled execution; state remains isolated and removed last.
- Exact interfaces, functions and connections: Typed Terraform variables accept owner-approved account, Region, network, tags and service identifiers; module outputs expose only non-secret IDs and ARNs. The utility reads a strict non-secret JSON contract, uses injected STS/Bedrock/Service Quotas clients, calls Converse only after owner opt-in and emits one redacted classified JSON report.
- Exact inputs, outputs, errors and invariants: Inputs are limited to final-approved W5 values, expected account, source Region, explicit target/model/profile IDs, explicit quota codes, evaluation paths, inference/security/cost limits and non-secret infrastructure values. Outputs include approved code/configuration/test-code changes and an owner-generated redacted verification report plus the owner test/deployment/remediation and learning guides.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Gate 1 verifies the existing Boto3/Botocore and evaluator APIs. Offline tests use injected fakes; live STS/Bedrock/Service Quotas and paid Converse calls are owner-only TEST-001 actions.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tests inspect expected plan shape. Verification tests use deterministic fakes to reject wrong identity/target/quota/schema, injection/leakage, unsafe cost and malformed output; teardown tests preserve bootstrap-last and zero-residue boundaries.
- Accepted baseline: The inspected repository contains every UPDATE path and does not contain every CREATE path. Historical results remain unchanged; future execution must revalidate content and patch anchors.
EXACT APPROVED PATH MANIFEST
CREATE:
- configs/verification/bedrock-owner-test.json
- tools/bedrock_owner_verify.py
- tests/unit/test_bedrock_owner_verify.py
- tests/security/test_bedrock_owner_verify_security.py
- tests/teardown/test_bedrock_owner_verify_cleanliness.py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docs/cost-estimates/W5-inputs.md
- infra/environments/sandbox/terraform.tfvars.example
- configs/eval/golden.jsonl
- configs/eval/w3-002.yaml
- configs/eval/baselines/w3-002-v1.json
- src/enterprise_ai_platform/config.py
- src/enterprise_ai_platform/evaluation/evaluator.py
- src/enterprise_ai_platform/llm/bedrock.py
- src/enterprise_ai_platform/retrieval/adapters/opensearch.py
REQUIRED UPSTREAM PRODUCERS:
- None
DEFERRED:
- Owner-generated reports/verification/bedrock-owner-test-result.json until TEST-001.
- Live AWS identity/model/quota checks, paid Converse smoke/evaluation, billing reconciliation and final model approval until explicit owner execution authorization.
- Non-Converse/non-text adapters unless separately approved.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</si>
  <si>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M — EXACT DOCUMENT WRITING APPROVAL — W5-001
PROMPT ID
W5-001-COLUMN-M
PURPOSE
Create the final W5-001 business, technical, security, infrastructure and Bedrock verification evidence from the completed owner testing.
The formal W5-001 result is:
TESTING CLOSED — FORMAL RESULT REMAINS FAIL; OWNER ACCEPTED THE FAILURE AS A BEDROCK MODEL-RESPONSE LIMITATION.
The accepted failure must never be converted to PASS. It does not establish production readiness or authorize deployment.
AUTHORIZATION BOUNDARY
This approval authorizes documentation changes only.
It does not authorize:
* Application, test, Terraform, policy or configuration changes.
* Test, Ruff, MyPy, TFLint, Checkov or OPA execution.
* Terraform init, validate, plan, apply or destroy.
* AWS, Bedrock, OpenSearch, GitHub or network activity.
* Further paid model invocation.
* Evidence-report regeneration or modification.
* Installation or removal of tools.
* Git stage, commit, push, reset or cleanup.
* Excel or tracker changes.
* Deployment, rollback or cloud teardown.
READ-ONLY PREFLIGHT
Before writing, inspect:
1. Complete repository status.
2. Every proposed documentation path.
3. The approved W5-001 implementation manifest.
4. The owner testing summary.
5. Existing W5-001 run directories 01–16.
6. Final Run 16:
   * manifest.json
   * events.jsonl
   * result.json
   * integrity.json
7. Existing approval sections in docs/test-evidence/README.md.
8. Relevant W5-INPUTS-001 and protected evidence.
Read-only inspection and checksum calculation are permitted.
Do not execute source code, tests, Terraform, scanners, policy engines, AWS commands or model calls.
The Excel workbook and any corresponding ~$ lock file are owner-controlled, excluded and non-blocking.
Stop without writing if:
* An approved owner result conflicts with retained evidence.
* A CREATE target already exists.
* An UPDATE target is missing.
* A report integrity check fails.
* The formal FAIL is represented as PASS.
* A result, cost, timestamp or approval would need to be invented.
* An unexpected documentation path would be required.
EXACT DOCUMENT MANIFEST
CREATE — EXACTLY 6
1. docs/test-evidence/W5-001.md
2. docs/test-evidence/W5-02-bootstrap.txt
3. docs/test-evidence/W5-02-bedrock-verification.txt
4. docs/test-evidence/W5-03-security.txt
5. docs/test-evidence/W5-04-iam.txt
6. docs/test-evidence/W5-05-platform-plan.txt
UPDATE — EXACTLY 1
1. docs/test-evidence/README.md
DELETE — EXACTLY 0
No deletion is authorized.
Total documentation scope:
* CREATE: 6
* UPDATE: 1
* DELETE: 0
* Total: 7 documents
VERIFIED UNCHANGED
At minimum, preserve unchanged:
* docs/cost-estimates/W5-inputs.md
* infra/environments/sandbox/terraform.tfvars.example
* configs/verification/bedrock-owner-test.json
* tools/bedrock_owner_verify.py
* All application and test code.
* All Terraform modules and roots.
* .tflint.hcl
* requirements-dev.txt
* Makefile
* feature-matrix.yaml
* .pre-commit-config.yaml
* .secrets.baseline
* Every file under reports/verification/
* All W1–W4 evidence and approval records.
EXCLUDED
* docs/test-evidence/W5-terraform.txt
* Every path not listed under CREATE or UPDATE.
* Excel and tracker files.
* Git state and history.
* Canonical run evidence modification.
* New reports or owner-review files.
* owner-review.json
* final.json
* Terraform state, plans and lock files.
GOVERNING RESULT CLASSIFICATION
The documents must state prominently:
* Overall W5-001 TEST-001 result: FAIL.
* Testing lifecycle: CLOSED.
* Owner disposition: failure accepted as a documented Amazon Nova 2 Lite response limitation.
* Further verifier remediation: not planned.
* Further paid rerun: not planned.
* Production readiness: not established.
* Release eligibility: not established.
* Owner acceptance does not convert FAIL to PASS.
LOCAL QUALITY RESULTS
Record exactly:
* Pytest: PASS — 798 passed, 7 skipped, 4 deselected and 10 subtests passed.
* Ruff: PASS — All checks passed.
* MyPy: PASS — no issues in 107 source files.
* Platform contract validation: PASS.
* Terraform formatting: PASS after approved formatting corrections.
* Terraform bootstrap validation: PASS.
* Terraform sandbox validation: PASS.
* Checkov 3.3.16: PASS — 226 passed, 0 failed and 20 skipped.
* OPA 1.20.0: PASS — 6 of 6 policy tests.
* TFLint 0.60.0 with AWS ruleset 0.48.0: owner-reported PASS after approved remediation.
* Terraform initialization-residue cleanup: PASS.
* Focused Bedrock verifier unit/security tests: PASS.
PRESERVED NOT RUN ITEMS
Record these as NOT RUN, not PASS:
* Four local-retrieval tests.
* One tokenizer integration test.
* One Qdrant integration test.
* One sentence-transformer test.
* Four deselected tests.
* Terraform plan.
* Terraform apply.
* AWS infrastructure deployment.
* Application deployment.
* Infrastructure rollback.
* Cloud rollback.
* Cloud teardown/destroy.
* Production model-quality validation.
* Production performance and capacity testing.
* Production-readiness validation.
Record that skipped real integrations were owner-controlled and opt-in.
ACCEPTED WARNING
Record the unresolved accepted warning:
* One StarletteDeprecationWarning concerning httpx and starlette.testclient.
Do not classify the warning as resolved.
STATIC INFRASTRUCTURE AND SECURITY RESULTS
Record:
* Both approved Terraform roots passed configuration validation.
* No Terraform plan or apply was executed.
* Checkov finished with 226 passed, 0 failed and 20 explicitly approved sandbox-specific skips.
* Six genuine security gaps were identified, remediated and passed on rerun.
* The historical security findings must not be erased.
* OPA policy tests passed 6/6 using synthetic plan-shaped inputs.
* TFLint passed after approved remediation.
* IAM wildcard and bounded-resource restrictions passed automated testing.
* No AWS infrastructure was created, modified or deleted.
* No production, availability, resilience or performance claim is established.
BEDROCK RUN SUMMARY
Record this exact table:
| Run                | Mode                 | Overall result                                | Requests |   Recorded cost |
| ------------------ | -------------------- | --------------------------------------------- | -------: | --------------: |
| W5-001-20260904-13 | Dry run              | NOT RUN                                       |        0 |           USD 0 |
| W5-001-20260904-14 | Account read-only    | INDETERMINATE                                 |        0 |           USD 0 |
| W5-001-20260904-15 | Paid smoke           | NOT RUN overall; authorized smoke checks PASS |        1 | USD 0.000004941 |
| W5-001-20260904-16 | Full paid evaluation | FAIL                                          |       25 | USD 0.005007339 |
Explain that Run 15’s overall NOT RUN means the full evaluation was not authorized in that mode. It does not invalidate its successful bounded smoke invocation.
RUN 16 PASSED CONTROLS
Record exactly:
* Exact configuration contract: PASS.
* Caller identity: PASS.
* Model and inference-profile configuration: PASS.
* Service quotas: PASS.
* Bedrock model access: PASS.
* Owner-confirmed pricing contract: PASS.
* Bounded smoke invocation: PASS.
* Cost ceiling: PASS.
* Retrieval Recall@5: 24/24.
* MRR: 24/24.
* Citation precision: 28/28.
* Abstention correctness: 12/12.
* Expected-error correctness: 3/3.
* Release-blocking failures: 0.
* Security violations: 0.
* Invalid citations exposed: 0.
* Automatic exact answered correctness: 19/24.
* Combined automatic correctness: 31/36.
RUN 16 FAILED CONTROLS
The formal live hard gate failed for exactly:
* Q15: Amazon Nova 2 Lite weakened the evidence-backed imperative “Apply…” to “should apply…”.
* Q18: Amazon Nova 2 Lite weakened the evidence-backed imperative “Roll back…” to “should roll back…”.
* Q22: Amazon Nova 2 Lite omitted the mandatory word “must”.
Also record:
* Q1, Q2, Q4, Q21 and Q22 missed the lexical exact-match gate.
* Lexical differences must not automatically be described as semantic failures.
* Q2 omitted “Plans require review,” creating an unresolved completeness concern.
* All 24 live answers remained pending semantic owner review.
* No owner-review.json was produced.
* No final.json was produced.
Do not infer semantic approval, semantic rejection or a final reviewed score.
OWNER CLOSURE DECISION
Record:
* The verifier operated as designed.
* It correctly detected and reported the model-response failures.
* The approved questions were not weakened.
* The evaluation strictness was not reduced.
* The final failure is attributed to Amazon Nova 2 Lite response variability and its failure to preserve mandatory control strength.
* The owner accepts this as a documented model limitation.
* Testing is closed.
* No further verifier remediation or paid evaluation is planned.
* Acceptance does not convert FAIL to PASS.
* Acceptance does not establish production readiness.
The exact closure timestamp and timezone have not been supplied.
Record this field as:
PENDING COLUMN N — OWNER MUST SUPPLY EXACT DATE, TIME AND TIMEZONE.
Do not invent or derive a timestamp from report filenames, filesystem metadata or conversation time.
HISTORICAL RESULTS
Preserve:
* Runs 04 and 12: FAIL after owner semantic review.
* Run 08 and other unreconciled account-read-only evaluations: INDETERMINATE.
* Dry-run and smoke-only modes classified as NOT RUN: remain NOT RUN.
* Historical tool and parser failures: preserved as historical FAIL facts.
* Approved remediation reruns: recorded separately as PASS where supported.
* Historical failures must not be overwritten by later results.
Do not invent the exact status of any run whose result is not established by owner evidence.
COST
Record:
* Retained run directories 01–16 total: USD 0.01929582.
* This is not the complete historical cost.
* Earlier paid executions performed before immutable run-scoped evidence was introduced are excluded.
* Run 16 cost: USD 0.005007339.
* Run 15 cost: USD 0.000004941.
* Local CPU, storage, network bandwidth and owner time are not represented as USD 0.
Do not claim that USD 0.01929582 is the total cost of every historical attempt.
EVIDENCE
Reference, but do not modify, the final Run 16 files:
* reports/verification/W5-001-20260904-16/manifest.json
* reports/verification/W5-001-20260904-16/events.jsonl
* reports/verification/W5-001-20260904-16/result.json
* reports/verification/W5-001-20260904-16/integrity.json
Record their verified SHA-256 values if available through read-only inspection.
Describe accurately that the retained evidence includes:
* Runtime versions.
* Repository and configuration hashes.
* Provider-request events.
* Request identifiers where returned.
* Token usage.
* Recorded cost.
* Model answers.
* Citations.
* Gate results.
It does not retain:
* AWS credentials.
* Authentication secrets.
* Raw provider response envelopes.
Do not reproduce complete prompts, answers, credentials, tokens or provider payloads in the documentation.
RETENTION AND RESIDUE
Record:
* reports/verification/ is retained locally.
* It is excluded from Git through .gitignore.
* No retained verification evidence was deleted or modified.
* Local verification reports are intentional residual artifacts.
* Terraform initialization residue cleanup: PASS.
* Cloud resources created: none.
* Cloud residual resources: none.
* Owner-managed OPA, TFLint, TFLint plugin cache and isolated Checkov tooling may remain installed.
* These are local tooling artifacts, not cloud resources.
* Their later retention or removal remains owner-controlled.
* No broad deletion of shared caches is authorized.
DEPLOYMENT, ROLLBACK AND TEARDOWN
Record independently:
* Application deployment: NOT RUN.
* Terraform plan: NOT RUN.
* Terraform apply: NOT RUN.
* Cloud deployment: NOT RUN.
* Infrastructure rollback: NOT RUN.
* Cloud rollback: NOT RUN.
* Cloud teardown/destroy: NOT RUN.
* Cloud resources created: none.
* Cloud residual resources: none.
* Local Terraform initialization cleanup: PASS.
* Local verification evidence: intentionally retained.
Do not describe “no cloud resources created” as cloud teardown PASS. No cloud teardown was required or executed.
DOCUMENT-SPECIFIC CONTENT
1. docs/test-evidence/W5-001.md
Create the aggregate W5-001 record containing:
* Business purpose.
* Architecture and implementation scope.
* Complete local-quality summary.
* Static Terraform and security results.
* Bedrock run history.
* Formal overall FAIL.
* Owner acceptance of the model limitation.
* Costs.
* Security and privacy results.
* Evidence inventory.
* Historical failures.
* Warnings, skips and limitations.
* Deployment, rollback, teardown and residue.
* Final Owner Approval section pending Column N.
2. docs/test-evidence/W5-02-bootstrap.txt
Record:
* Terraform bootstrap purpose and boundary.
* Formatting and validation PASS.
* Static security controls.
* State-boundary design.
* Terraform plan/apply NOT RUN.
* No state backend or cloud resource created.
* Initialization-residue cleanup PASS.
* Local/static-only limitation.
* Final Owner Approval section pending Column N.
3. docs/test-evidence/W5-02-bedrock-verification.txt
Record:
* Verifier business purpose.
* Exact run-mode table.
* Identity, model, quota, pricing and cost checks.
* Run 16 passed and failed controls.
* Q15, Q18 and Q22 hard-gate failures.
* Lexical mismatches and unresolved Q2 completeness concern.
* Pending semantic review for all 24 answers.
* Formal FAIL and owner-accepted model limitation.
* Run and cumulative retained costs.
* Exact Run 16 evidence paths and verified hashes.
* No production-readiness claim.
* Final Owner Approval section pending Column N.
4. docs/test-evidence/W5-03-security.txt
Record:
* Checkov 3.3.16 results.
* Six historical genuine security findings and successful remediation.
* Twenty approved sandbox-specific skips.
* OPA 1.20.0 result: 6/6 PASS.
* TFLint result and approved remediation.
* IAM wildcard/resource tests.
* Bedrock security violations: zero.
* Invalid citations exposed: zero.
* Remaining sandbox and production limitations.
* Final Owner Approval section pending Column N.
5. docs/test-evidence/W5-04-iam.txt
Record:
* Verified caller identity.
* Bounded IAM-user sandbox exception.
* Trust-policy expiry.
* Runtime, ingestion and OpenSearch administrator role boundaries.
* Wildcard and bounded-resource controls.
* No existing user permission expansion.
* Pod Identity associations NOT RUN.
* No infrastructure deployment.
* Final Owner Approval section pending Column N.
Do not expose credentials or sensitive identity material beyond already approved identifiers.
6. docs/test-evidence/W5-05-platform-plan.txt
State prominently:
TERRAFORM PLAN — NOT RUN.
Record:
* Static formatting and validation PASS.
* Checkov, OPA and TFLint results.
* No terraform plan.
* No plan JSON.
* No real-plan OPA evaluation.
* No apply.
* No deployment.
* No infrastructure rollback.
* No cloud teardown.
* Platform readiness and production compatibility remain unproven.
* Final Owner Approval section pending Column N.
The filename must not be used to imply that a Terraform plan exists.
7. docs/test-evidence/README.md
Update the evidence index to:
* Add the six W5-001 documents.
* Record the formal W5-001 FAIL.
* Record testing CLOSED with an accepted model limitation.
* Preserve the distinction between local/static PASS results and live Bedrock FAIL.
* Preserve all NOT RUN and INDETERMINATE facts.
* Link to existing retained evidence without copying its sensitive content.
* Preserve all previous final approvals unchanged.
* Add a W5-001 Final Owner Approval section pending Column N.
FINAL OWNER APPROVAL SECTIONS
Add a clearly labelled Final Owner Approval section to every one of the seven documents.
Each section must contain:
* Reviewer: PENDING COLUMN N.
* Reviewer role: PENDING COLUMN N.
* Exact final decision: PENDING COLUMN N.
* Decision date/time/timezone: PENDING COLUMN N.
* Formal test result: FAIL.
* Testing lifecycle: CLOSED.
* Accepted model limitation: recorded.
* Accepted warnings and risks: PENDING COLUMN N confirmation.
* Evidence gaps and limitations: PENDING COLUMN N confirmation.
* Deferred actions and owners: PENDING COLUMN N.
* Deployment facts: NOT RUN.
* Rollback facts: NOT RUN except local initialization-residue cleanup PASS.
* Teardown facts: cloud teardown NOT RUN.
* Residual resources: local reports and owner-managed tools retained.
* Approval conditions: PENDING COLUMN N.
Do not mark any document finally approved during Column M.
MANDATORY COLUMN M OUTPUT
After writing, return:
COLUMN M APPROVED DOCUMENT MANIFEST — W5-001
Include one row for each of the seven documents with:
1. Exact path.
2. CREATE or UPDATE classification.
3. Business purpose.
4. Owner test results.
5. Formal overall classification.
6. Historical failures.
7. Warnings and accepted risks.
8. Evidence gaps and limitations.
9. Network/provider/model activity.
10. Recorded cost.
11. Deployment status.
12. Rollback status.
13. Teardown status.
14. Residual resources.
15. Fields pending Column N.
16. Exact Final Owner Approval section location.
17. Column N closure requirement.
Manifest reconciliation must be exactly:
* CREATE: 6
* UPDATE: 1
* DELETE: 0
* Total Column M documents: 7
COLUMN N REQUIREMENT
Column N must update and close all seven documents—not only the aggregate evidence document or README.
Column N must preserve:
* Formal overall FAIL.
* Testing CLOSED.
* Accepted Amazon Nova 2 Lite limitation.
* Every PASS, FAIL, NOT RUN and INDETERMINATE fact.
* Historical failures and remediation.
* Pending semantic review.
* Q2 completeness concern.
* Accepted warning.
* Incomplete historical-cost limitation.
* No production-readiness claim.
* Deployment, rollback, teardown and residual-resource facts.
Any proposal to convert the overall result to PASS must block closure.
End exactly:
DOCUMENTATION READY FOR OWNER REVIEW — W5-001.</t>
  </si>
  <si>
    <t>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BED-001 exact target, account-match, access, quota, quality, security, token, cost, network/provider and eligibility facts: [exact owner results or NOT RUN/INDETERMINATE]
- Deployment, rollback, teardown, report/cache retention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a successful automated report may establish eligible_for_owner_approval but never substitutes for the exact owner decision/time.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document—including the dedicated W5-02 BED-001 verification evidence—must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t>
  </si>
  <si>
    <t xml:space="preserve">FOUR APPROVAL GATES PLUS OWNER TESTING AND WEEKLY LEARNING — TRACKER v1.3.5
MAIN PROMPT — W5-002
1. Task identity
Week: Week 5
Prompt ID: W5-002
Current implementation cycle: Phase A only
Feature/outcome: GitHub Actions DevSecOps CI and local supply-chain assurance
Current covered tracker steps: W5-07 and W5-08
Deferred later tracker step: W6-01 image publication to ECR
Business purpose: Enforce software-quality, infrastructure-as-code and software-supply-chain gates using short-lived identity and immutable artifact provenance.
Primary beneficiaries: Developers, platform engineers, security reviewers, release managers, SRE and auditors.
Task type: implementation
Next approval position: Gate 1 read-only review, followed only later by a separate exact Column L Code Edit Approval.
2. Initial execution instruction
When this Main Prompt is first invoked, perform Gate 1 only.
Do not create, edit, delete, install, download, execute, test, lint, format, build, scan, start, stop, deploy, push, publish, remediate, roll back, tear down, contact GitHub, a registry, AWS, Bedrock, Qdrant or another external service, edit Excel, or mutate Git or external state.
Read-only repository inspection, file comparison, metadata inspection and hashing are permitted. Treat an open Excel workbook and its corresponding ~$ lock file as owner-controlled, excluded and non-blocking. An uncommitted workbook change is not an owner decision and must not be used as a Column L blocker unless it changes the exact governing on-disk content being relied upon.
Never invent an owner decision, action SHA, image digest, tool version, repository identity, retention period, exception, test result or approval. Never silently reconcile conflicting evidence.
3. Source precedence
Apply the repository-approved source precedence, expected to begin with ADR-000:
Enterprise AI Architecture Source of Truth.
Owner-approved ADRs and explicit owner decisions.
Approved coaching and learning records.
Authoritative tracker v1.3.5.
Approved feature requirements, configuration and implementation evidence.
Report any conflict. Do not resolve it through filename recency, assumption or convenience.
4. Authoritative tracker scope
W5-07 — CI/CD
Action: Create PR CI and Terraform-plan workflow using GitHub OIDC.
Business reason: Automated gates and short-lived identity reduce change and credential risk.
Acceptance: All approved checks run; apply and destroy remain owner-gated and are never automatic.
Dependencies: W5-04 and W5-06.
Owner input: GHA-001.
Canonical evidence: docs/test-evidence/W5-07-ci.txt.
Rollback: Disable the workflow, revoke or narrow OIDC trust and retain the last known-good release.
W5-08 — Supply chain
Action: Build the application image, scan it with Trivy and Grype, and generate Syft SPDX and CycloneDX SBOMs.
Business reason: Deployment must use a known, scanned and reproducible immutable artifact.
Acceptance: Approved vulnerability thresholds fail closed; the SBOM and redacted provenance are retained; no image is published.
Dependency: W5-07.
Canonical evidence: docs/test-evidence/W5-08-supply-chain.txt.
Rollback: Reject the candidate artifact and retain the previously approved digest.
W6-01 — Explicitly deferred from this cycle
Action: Publish a scanned image to ECR by immutable digest.
Tracker dependency: W5-14, together with the separately approved W5 lifecycle and Week 6 readiness conditions.
Evidence: docs/deployment-records/W6-image.md.
Current treatment: DEFERRED. Do not implement, execute, test, document or claim W6-01 under the W5-002 Phase A cycle.
W6-01 requires a later separate baseline, exact Column L manifest, registry/network authorization, owner TEST-001 execution, Column M manifest and Column N closure. A mutable tag may later be a convenience label, but it must never become deployment authority.
5. Reconciled completed baseline
Gate 1 must inspect and reconcile the current repository rather than relying solely on the following owner-supplied summary.
Weeks 1–4
The repository, configuration, testing, retrieval, cited RAG, deterministic evaluation, guardrails, rollback, API, authorization, bounded agent, telemetry, failure, load and release-rollback foundations have owner-approved local evidence.
W1-08 and SEC-003 were subsequently implemented and tested. The canonical .pre-commit-config.yaml and .secrets.baseline now exist in the reported repository baseline. Historical records that truthfully described their earlier absence remain historical facts.
The protected W3-002 deterministic evaluation baseline must remain immutable.
Week 4 implementation and rollback closure reached the owner-reported ordinary-suite baseline of 724 passed, 7 skipped and 4 deselected before Week 5 changes.
No prior local or fake evidence proves GitHub-hosted execution, registry publication, production deployment or cloud readiness.
W5-INPUTS-001
The non-secret 30-key sandbox input contract and business-readable decision record were created and owner reviewed.
Gate 1 must inspect their current content and approval status.
No credential or long-lived secret may be copied from those records into GitHub Actions.
Any unresolved owner placeholder remains unresolved and cannot be inferred.
W5-001 implementation and testing
The owner reports:
Pytest: PASS — 798 passed, 7 skipped, 4 deselected and 10 subtests passed.
Ruff: PASS.
MyPy: PASS across 107 source files.
Platform validation: PASS.
Terraform formatting and both approved root validations: PASS.
Checkov 3.3.16: PASS — 226 passed, 0 failed and 20 owner-approved sandbox-specific skips.
OPA 1.20.0: PASS — 6/6 offline policy tests.
TFLint 0.60.0 with AWS ruleset 0.48.0: owner-reported PASS after approved remediation.
Terraform initialization residue cleanup: PASS.
No Terraform plan, apply, cloud deployment, infrastructure rollback or cloud teardown was run.
The final W5-001 Bedrock verification result is FAIL, with testing closed and the failure accepted by the owner as an Amazon Nova 2 Lite response limitation. It must never be converted to PASS.
The failed hard-gate cases were Q15, Q18 and Q22 because the live model weakened or omitted mandatory policy language. Q2 also retained an unresolved completeness concern. All 24 live answers remained pending semantic review. No owner-review.json or final.json was produced for the final run.
The Bedrock verifier itself operated as designed. Identity, access, quota, pricing, bounded invocation, retrieval, citations, abstention, expected-error, security and cost controls passed, but those component results do not override the formal overall FAIL.
This W5-001 FAIL:
Blocks treating Amazon Nova 2 Lite as an approved production/deployment model.
Blocks any claim that BED-001 or production model quality is complete.
Blocks W5/W6 apply, deployment and promotion approval unless the owner supplies an explicit later resolution.
Does not by itself block writing and locally testing W5-002 CI and supply-chain controls.
Prohibits a live Bedrock CI smoke test from being represented as PASS.
Must be surfaced by the proposed CI contract as an unresolved release/deployment blocker, not bypassed or weakened.
Retained W5-001 verification reports are evidence inputs only. W5-002 must not modify, upload or expose them.
6. Prerequisite rules
W5-04
Gate 1 must verify the implemented GitHub OIDC trust-only role and its current tests. Do not infer that a role exists in AWS merely because Terraform code exists.
W5-06 / W5-003
W5-07 depends on W5-06. W5-001 created and tested a bounded OPA/Checkov foundation, but its approval explicitly stated that this did not complete W5-003 or W5-06.
Therefore:
Gate 1 may inspect and plan W5-002.
Column L must remain blocked until W5-003/W5-06 implementation, owner testing and governing approval are proven, unless the owner supplies an explicit superseding dependency decision.
W5-001’s six OPA tests and Checkov results cannot silently be relabelled as W5-06 completion.
GHA-001
Gate 1 must reconcile the tracker’s GHA-001 status against current approved inputs and Terraform trust conditions. Required exact facts include:
GitHub organization or owner.
Repository name.
Protected GitHub environment name.
Allowed event and ref/subject patterns.
Exact OIDC provider ARN.
Exact GitHub Actions role ARN.
Session duration.
Audience.
Fork and untrusted-PR behavior.
If any required value is missing, request it once in the consolidated owner decisions. Do not infer it from a local folder name or Git remote unless the owner explicitly approves that value.
Documentation status
If W5-001 Column M or Column N remains incomplete, record that governance gap. It blocks final W5-002 closure and later deployment approval, but it does not automatically block a bounded W5-002 code edit when the exact implementation/test facts are owner supplied and non-conflicting.
7. Phase A business outcome and measurable acceptance
W5-002 Phase A should produce two independently testable outcomes:
A least-privilege pull-request CI workflow that runs the approved local quality, security and IaC gates and produces a non-authoritative speculative plan review where owner-approved and safe.
A supply-chain workflow that builds one exact local/CI image, scans that same artifact, creates both approved SBOM formats and retains redacted provenance without publishing the image.
Measurable acceptance must include:
No AWS access-key or long-lived cloud credential is stored or requested.
GitHub OIDC is used only in the exact approved trusted context.
Untrusted or fork pull requests receive no cloud identity token.
Workflow and job permissions are explicit and least privilege.
Every third-party GitHub Action is pinned to an exact immutable commit SHA.
Base and service-container images are pinned to exact approved digests.
Tool installers, downloaded binaries and dependencies have explicit versions and provenance/checksum controls.
Ruff, MyPy, Pytest, pre-commit/secret scanning, Terraform formatting and validation, TFLint, Checkov and OPA execute in the approved scopes.
A CI-generated Terraform plan is speculative only, cannot be applied and is not the W5-09 owner-approved saved plan.
Sensitive Terraform plan data, environment dumps, credentials, raw model content and W5-001 retained reports are not uploaded.
The existing deterministic RAG/evaluation regression can run locally/offline without a live provider.
No live Bedrock invocation occurs in Phase A unless later separately approved; the existing W5-001 model-quality FAIL remains visible.
Trivy and Grype enforce the approved critical-vulnerability policy.
Syft generates both SPDX JSON and CycloneDX JSON for the exact built image.
Scan and SBOM artifacts are bound to the exact candidate image identity.
No image push, ECR mutation, Terraform apply/destroy, application deployment or Kubernetes mutation occurs.
Failure of any mandatory gate prevents artifact eligibility.
Rollback disables the workflow and rejects the candidate without deleting evidence or changing cloud infrastructure.
Cleanup removes only task-owned local containers, images, builder state and caches approved for removal.
Local tests can prove workflow structure and deterministic gate behavior. They cannot prove GitHub-hosted execution, OIDC token issuance, AWS authorization, registry publication, production vulnerability posture or deployment readiness.
8. Retained technical direction
Subject to Gate 1 inspection and owner decisions, retain the original plan:
Python 3.11 CI environment.
Repository-configured Ruff, MyPy and Pytest scopes.
Existing local pre-commit and detect-secrets controls.
Terraform formatting and validation for the approved roots.
TFLint 0.60.0 with AWS ruleset 0.48.0.
Checkov 3.3.16.
OPA 1.20.0.
GitHub OIDC and protected environment controls.
Docker/BuildKit image build without push.
Trivy filesystem/image scanning.
Grype image/SBOM scanning.
Syft SPDX JSON and CycloneDX JSON SBOM generation.
Deterministic local RAG smoke/regression testing only.
Redacted, bounded CI artifacts with an exact retention period.
Explicit timeouts and cancellation/failure behavior.
Do not interpret “pin actions to immutable SHAs” as permission to leave TODO placeholders. A Column L approval must contain the exact action SHAs, image digests, tool versions and download/provenance methods. If they are unavailable, Gate 1 must request them.
Use a Qdrant service container only if current repository tests require it and the owner approves its exact image digest, network boundary, health check, resource limits and cleanup. “If useful” is not sufficient authority.
9. Trust and execution boundaries
The intended flow is:
Git change
  -&gt; untrusted/static validation boundary
  -&gt; quality, secret and dependency gates
  -&gt; IaC formatting, validation and policy gates
  -&gt; optional trusted OIDC read-only plan boundary
  -&gt; candidate image build
  -&gt; exact-image Trivy/Grype scans
  -&gt; Syft SPDX/CycloneDX SBOMs
  -&gt; redacted provenance and eligibility decision
  -&gt; owner review
The following separations are mandatory:
pull_request_target must not execute untrusted repository code with privileged tokens.
Fork/untrusted PR validation and trusted OIDC plan execution must be separate jobs or workflows with explicit conditions.
id-token: write must exist only on the exact job that needs OIDC.
Default permissions must be read-only or none; write permissions require exact justification.
A PR plan is speculative, expires on source/input drift and is never apply authority.
The W5-09 saved-plan approval remains separate.
Image build, scan, SBOM generation and future ECR publication remain separate stages.
Phase A must not push an image.
GitHub Actions logs and artifacts must not include secrets, protected prompts, model answers, retrieved evidence, Terraform-sensitive values or raw provider responses.
Existing authorization, guardrail, RAG, agent and telemetry contracts remain unchanged unless exact current consumers prove that a bounded synchronization edit is required.
10. Gate 1 — mandatory read-only review
Return all sections below.
10.1 Business outcome and scope
Explain:
The business problem and beneficiaries.
Where W5-002 sits between source change and later deployment.
What W5-07 and W5-08 implement.
Why W6-01 is excluded from Phase A.
Functional and non-functional acceptance.
Security, privacy, reliability, cost and operational acceptance.
Blocking prerequisites, safe deferrals and downstream consequences.
10.2 Governing baseline
Report:
Exact repository root, full HEAD, branch and complete status.
Owner-controlled and unexpected changes separately.
Authoritative tracker identity/hash and any filename/version inconsistency.
Source of Truth, ADR and protected-evidence hashes relevant to W5-002.
Exact W5-INPUTS-001 and W5-001 facts.
W5-001 formal FAIL and its accepted limitation.
Current W5-001 documentation/Column N status.
W5-003/W5-06 implementation, test and approval status.
GHA-001 status and exact values.
Current Dockerfile, workflows, action/policy/configuration files, Make targets, tests and evidence paths.
Current installed-tool facts only when obtainable without executing a tool; otherwise classify them as pending owner TEST-001 verification.
Existing caches, images, containers, builders and report directories from read-only evidence where available.
Do not require a clean worktree when all changes are owner-controlled, enumerated, preserved and outside the proposed boundary. Unexpected implementation, workflow, dependency, infrastructure or target-path drift must block.
10.3 Prerequisite reconciliation
Reconcile exactly:
W5-04 tracker status versus implemented and owner-tested IAM code.
W5-06/W5-003 tracker status versus the bounded OPA/Checkov foundation created by W5-001.
GHA-001 tracker status versus current approved identity inputs.
W5-01 through W5-05 tracker statuses versus actual approved implementation/evidence.
BED-001 status versus W5-001’s formal live-evaluation FAIL.
SEC-003 status versus the current pre-commit and secret baseline.
COST-001 and RET-001 status versus artifact retention and CI-cost decisions.
W6-01’s actual dependency on W5-14.
Do not edit the tracker or reinterpret stale status cells as implementation evidence.
10.4 Producer-consumer impact matrix
For every proposed workflow, composite action, script, Make target, configuration, dependency, environment/variable name, permission, artifact, report, fixture and test, provide:
Producer/definition.
Imports/callers/triggering workflows.
Validators and policy consumers.
Serializers and artifact formats.
Fixtures and duplicated literals.
Unit, contract, integration, feature, security, rollback, teardown and cleanliness consumers.
GitHub, Docker, Terraform, AWS and later deployment consumers.
Documentation/evidence consumers.
Required change or evidence-based reason to remain unchanged.
Search the exact repository. Do not infer filenames or create shadow consumers.
10.5 Function, workflow and connection map
Map:
GitHub events and trust levels.
Job dependencies and outputs.
Permissions and OIDC-token boundary.
Python dependency installation/cache behavior.
Terraform initialization/provider/plugin cache behavior.
Secret scanning.
Speculative plan and redacted summary flow.
OPA/Checkov/TFLint inputs and outputs.
Docker/BuildKit context and cache.
Image identity from build through both scanners and both SBOMs.
Artifact upload/download and retention.
Timeouts, retries, cancellation and concurrency.
Cleanup on success, failure and cancellation.
Every network connection that an owner-run workflow would make.
10.6 Exact path manifest
Return complete repository-relative paths under:
CREATE.
UPDATE.
DELETE.
VERIFIED UNCHANGED CONSUMERS.
DEFERRED.
EXCLUDED.
For every editable path, identify the exact symbol, workflow/job, target or section and why it changes. For every inspected consumer left unchanged, state why.
No wildcard, directory-only path or placeholder filename may appear in Column L. Do not guess .github/workflows filenames, helper-script paths, Dockerfile paths, test paths or artifact paths.
If an expected file is absent, classify it as PROPOSED CREATE. If a necessary path falls outside the initial proposal, include it in the Gate 1 proposal and obtain owner approval before editing.
10.7 Workflow, schema and artifact analysis
Define exact contracts for:
Event triggers and branch/ref rules.
Fork/untrusted PR behavior.
permissions at workflow and job level.
Concurrency group and cancellation behavior.
Environment protection.
OIDC audience, subject and role/session inputs.
Matrix values and ordering, if any.
Timeouts and retry counts.
Speculative-plan metadata and expiry.
Image name/tag/content identity.
Scan report schemas and severity outcomes.
SPDX and CycloneDX filenames/formats.
Provenance manifest fields and canonical ordering.
Artifact names, contents, maximum sizes and retention.
PASS, FAIL, NOT RUN and INDETERMINATE classification.
Prove rejection of missing, malformed, duplicated, reordered where order is contractual, unexpected, unpinned, unauthorized, expired, mismatched or sensitive values.
10.8 Dependency and provenance analysis
Inspect:
pyproject.toml, requirement files and any lock/constraint files.
Existing pre-commit and detect-secrets configuration.
Terraform/provider constraints and lockfile policy.
TFLint, AWS ruleset, Checkov and OPA contracts.
Dockerfile and base-image identity.
Qdrant image only if required.
Trivy, Grype, Syft, actionlint and BuildKit requirements.
Every GitHub Action and exact immutable SHA.
For every dependency or action, record:
Exact version/SHA/digest.
Official source and provenance method.
Checksum/signature/attestation handling where available.
Installation/download/network requirements.
External and repository cache paths.
Compatibility and deferred owner verification.
Do not approve floating tags such as @v4, latest or an unpinned container tag. Do not use a TODO where an immutable identity is required.
10.9 Failure, concurrency and lifecycle analysis
Cover:
Duplicate workflow runs and concurrency cancellation.
Partial job/artifact failure.
OIDC denial or wrong subject/audience.
Dependency or action download failure.
Test, secret, IaC-policy or vulnerability failure.
Image/SBOM digest mismatch.
Artifact upload failure.
Timeout and cancellation cleanup.
Docker daemon/build-worker residuals.
TFLint, Terraform, scanner and Python cache residue.
GitHub artifact retention and deletion ownership.
Candidate rejection versus release rollback versus infrastructure rollback versus teardown.
No automatic remediation, apply, destroy, push or deployment is permitted.
10.10 Complete automated-test design
List exact tests to create or update for:
Workflow YAML syntax and exact trigger contract.
Immutable action SHA enforcement.
Least-privilege permissions.
No AWS access-key secret names or long-lived credentials.
Fork/untrusted PR denial before OIDC.
Exact OIDC role/audience/subject/environment contract.
No automatic apply, destroy, push or deployment.
CI speculative-plan non-authority and no sensitive-plan upload.
Required quality/security/IaC stages and ordering/dependencies.
Timeouts and concurrency controls.
Exact tool versions and provenance.
Docker base/service image digest enforcement.
One-image identity across build, scans and SBOMs.
Trivy/Grype critical-vulnerability failure behavior.
Syft SPDX/CycloneDX output requirements.
Redaction and artifact allowlist.
W5-001 formal FAIL visibility and prohibition on live Bedrock PASS claims.
W5-06 prerequisite behavior.
Rollback-disable behavior.
Teardown and zero-residue behavior.
Existing W1–W5 regression consumers.
State which tests are deterministic local/static tests and which require explicit owner opt-in for GitHub, network, Docker or external tools. Do not create skips merely to represent unimplemented external verification.
10.11 Owner TEST-001 execution guide — planned only
Provide an ordered, one-command-at-a-time guide derived from the inspected repository. For every command state:
Topic.
Exact command.
Required working directory and environment.
Required version/access/cache/network prerequisites.
Purpose.
Expected result.
Files/resources created or retained.
Security, privacy, cost and mutation risk.
Stop condition.
Cleanup or rollback action.
The planned order should distinguish:
Baseline and path verification.
Tool/version/provenance verification.
Cache-safe Ruff and formatting checks.
Strict MyPy.
Focused workflow/security/supply-chain tests.
Protected regression tests.
Full ordinary suite.
Platform validation.
actionlint or equivalent workflow validation.
Terraform/TFLint/Checkov/OPA validation required by the workflow contract.
Local Docker build without push.
Trivy/Grype scans of the exact image.
Syft SPDX and CycloneDX generation.
Digest/provenance reconciliation.
Rollback-disable verification.
Cleanup and zero-residue verification.
Final path-boundary verification.
Separately approved GitHub-hosted workflow execution, if authorized.
Do not issue W6-01/ECR push, Terraform apply/destroy, live Bedrock, Kubernetes or deployment commands.
10.12 Security, privacy, cost and operational impact
Cover:
GitHub permissions and OIDC trust.
Fork/untrusted-code protection.
Secret and credential exclusion.
Dependency/action/image supply-chain provenance.
SBOM and vulnerability evidence.
Terraform plan sensitivity.
Log and artifact redaction.
Retention and deletion owners.
Data residency and every external service contacted.
GitHub Actions minutes, artifact storage, network bandwidth and local Docker disk consumption.
Scanner database downloads and cache provenance.
No AWS/provider/model charge unless separately authorized.
No production, SLO, capacity or deployment claim.
Never state USD 0 for owner time, local CPU/disk/bandwidth or GitHub-hosted execution unless the relevant cost is proven.
11. Consolidated owner decisions required
Ask once for all unresolved decisions. For each provide the exact question, recommendation, alternative/trade-off, deferral consequence and gate impact.
At minimum reconcile:
Exact authoritative tracker filename/version and current repository baseline.
W5-003/W5-06 prerequisite status and whether Column L must wait for its final approval.
Exact GHA-001 organization/owner, repository, environment, branches/refs, audience, OIDC provider ARN, role ARN and session duration.
Untrusted/fork PR behavior and prohibition on privileged pull_request_target execution.
Exact workflow filenames, triggers, concurrency groups, timeouts and job permissions.
Exact GitHub Action commit SHAs and official provenance sources.
Python dependency installation and cache policy in the absence or presence of a lock/constraints file.
Exact Terraform, TFLint, Checkov and OPA setup method inside CI, including plugin/provider cache behavior.
Whether a speculative Terraform plan is allowed on trusted PRs; confirm it is never apply authority and cannot be uploaded in sensitive form.
Exact Docker/BuildKit version boundary and builder/cache policy.
Exact base-image digest.
Whether Qdrant is required; if yes, exact digest, health check, network/resource limits and cleanup.
Exact Trivy, Grype, Syft and actionlint versions, installation sources and checksum/signature/attestation verification.
Vulnerability policy: tracker minimum is fail on CRITICAL; decide whether HIGH also blocks and how unfixed/accepted findings are governed.
Exact SBOM formats, filenames, artifact names, size limits and retention days.
Exact redacted artifact allowlist; confirm Terraform plans, raw logs, environment dumps, W5-001 reports, prompts, answers and evidence are prohibited.
Exact deterministic offline RAG smoke/evaluation command and acceptance; confirm no live Bedrock invocation and preserve W5-001 formal FAIL.
Workflow external-execution boundary: local tests only now or later owner-approved GitHub run.
GitHub Actions usage/cost ceiling and stop-work authority.
Rollback, cache retention and teardown ownership.
Exact Column L CREATE/UPDATE/DELETE/VERIFIED UNCHANGED/DEFERRED/EXCLUDED manifest.
Confirmation that W6-01 and docs/deployment-records/W6-image.md remain outside Phase A.
Do not request Column L until every edit-blocking decision, producer, consumer, configured quality gate and residue path is reconciled.
12. Gate 1 response requirements
Return:
Business outcome and measurable acceptance.
Governing baseline and prior-week reconciliation.
Exact prerequisite status and blockers.
Producer-consumer impact matrix.
Workflow/function/connection and trust map.
Exact proposed path manifest.
Schema, artifact and fixture analysis.
Dependency, action, image and tool provenance analysis.
Failure, concurrency, rollback and teardown analysis.
Complete automated-test design.
Planned owner TEST-001 guide without executing it.
Security, privacy, cost and operational impact.
Consolidated owner decisions.
Differences between this revised prompt and the existing tracker prompt.
If W5-003/W5-06 is not final-approved, Gate 1 may complete its analysis but must end:
BLOCKED — W5-003 PREREQUISITE NOT CLOSED — W5-002.
If another required owner value is missing, end:
BLOCKED — REQUIRED OWNER INPUT MISSING — W5-002.
If the repository or governing baseline materially changed during review, end:
BLOCKED — BASELINE CHANGED — W5-002.
Only when all edit-blocking prerequisites and decisions are resolved, end:
READY FOR PRE-EDIT REVIEW — W5-002.
13. Column L — later separate exact approval
Column L must be a separately supplied Code Edit Approval bound to:
The exact current HEAD, branch and complete status.
Every approved action SHA, image digest, tool version and owner input.
Exact CREATE, UPDATE, DELETE and VERIFIED UNCHANGED paths.
Exact patch contexts for every UPDATE path.
Complete deferred and excluded manifests.
W5-001’s preserved formal FAIL.
W5-003/W5-06’s proven prerequisite status.
Column L may authorize only W5-07/W5-08 Phase A implementation and deterministic test code.
It must not authorize:
W6-01 or ECR publication.
A GitHub-hosted workflow run.
Package, action, image or scanner downloads.
Terraform apply/destroy.
Deployment or Kubernetes mutation.
Live Bedrock/model execution.
Documentation/evidence writing.
Excel or Git mutation.
After editing, Codex returns the exact changed-path manifest and ends with the owner-test handoff required by the approved Column L prompt. It must not claim PASS.
14. Owner TEST-001 — separate execution authority
The owner executes every approved command one at a time.
Before each command, Codex states its topic, exact scope, purpose, expected result, network/cache/mutation/cost exposure, created or retained resources and stop condition. After each owner result, classify it as PASS, FAIL, NOT RUN or INDETERMINATE.
On FAIL or INDETERMINATE:
Stop the command sequence.
Preserve the result.
Perform read-only root-cause and full producer-consumer analysis.
Propose one consolidated bounded remediation approval.
Do not patch or rerun automatically.
Local/static success does not prove GitHub-hosted, OIDC, registry, production or cloud behavior.
15. Column M — later exact documentation approval
After owner testing or approved content review, Column M must classify every documentation path from current facts.
Expected Phase A candidates, subject to preflight, are:
docs/test-evidence/W5-002.md
docs/test-evidence/W5-07-ci.txt
docs/test-evidence/W5-08-supply-chain.txt
docs/test-evidence/README.md
The following must remain deferred during Phase A:
docs/deployment-records/W6-image.md
Do not create duplicate legacy evidence such as W5-oidc.txt or W5-supply-chain.txt unless an exact owner reconciliation explicitly changes the canonical paths.
Column M must preserve all PASS, FAIL, NOT RUN and INDETERMINATE results, including W5-001’s formal Bedrock FAIL where it affects deployment eligibility. It must record network activity, downloads, GitHub runs, image/scanner/SBOM identities, cost, warnings, accepted risks, artifact retention, rollback, teardown and residue.
Column M must return one manifest row per created or updated document and reserve Final Owner Approval sections for Column N.
16. Column N — final documentation closure
Column N is a later documentation-only approval after owner review. It must update every Column M document and reconcile the exact manifest count.
The owner must supply:
Reviewer name and role.
Exact decision.
Date, time and timezone.
Accepted warnings, risks and limitations.
PASS, FAIL, NOT RUN and INDETERMINATE facts.
External execution and cost facts.
Deferred actions and owners.
Deployment, rollback, teardown and residual-resource facts.
Approval conditions or None.
Column N must block if a mandatory gate failed, a vulnerability or provenance mismatch remains unaccepted, an artifact is omitted, W6-01 is falsely claimed, W5-001’s formal FAIL is hidden, or a document differs from the owner-reviewed version.
Codex must not edit Excel. After complete Column N closure, instruct the owner to update the tracker.
17. Rollback and teardown boundary
Distinguish:
Candidate rejection: failed CI/supply-chain gates make the candidate ineligible.
Workflow rollback: disable or restore the last approved workflow and narrow/revoke its OIDC trust.
Release rollback: restore a previously approved immutable application digest; not performed in Phase A.
Infrastructure rollback: apply reviewed prior Terraform; not performed in Phase A.
Teardown: remove only task-owned local images, containers, builders, caches and temporary artifacts after evidence requirements are satisfied.
Never use Terraform destroy as ordinary rollback. Never delete shared caches or owner evidence broadly. Record any intentionally retained local image, scanner database, GitHub artifact or external tool cache.
18. Weekly learning handoff
W5-002 is not complete merely because workflow files exist. The Week 5 learning task must teach the owner:
How Git change becomes a governed candidate artifact.
Why OIDC is safer than stored AWS keys.
Why immutable action SHAs and image digests matter.
Why a speculative CI plan is not apply authority.
How Trivy, Grype and Syft complement one another.
How SBOM, scan and image identities are reconciled.
FOUR APPROVAL GATES PLUS </t>
  </si>
  <si>
    <t>READY FOR PRE-EDIT REVIEW — W5-002</t>
  </si>
  <si>
    <t>W5-07, W5-08, W6-01</t>
  </si>
  <si>
    <t>COLUMN L — COMPLETE BOUNDED CODE EDIT APPROVAL — W5-002
1. Approval identity
Prompt ID: W5-002
Tracker steps: W5-07 and W5-08
Feature: GHA-001
Phase: A — CI, trusted speculative plan and candidate supply-chain controls
Expected repository: gprai/enterprize_ai_platform
Approval type: exact code/configuration/IaC/schema/automated-test edit approval
Approved Gate 1 decisions: D1–D24, including final approvals for D7, D8, D9,
D11, D12, D14 and D22
Exact implementation manifest: 19 CREATE, 12 UPDATE, 0 DELETE
This approval authorizes only the exact repository edits in Section 6. It does not authorize
testing, installation, downloads, dependency resolution, lockfile generation, GitHub-hosted
execution, AWS access, Docker execution, scanning, artifact upload, documentation, evidence
writing, Excel modification, Git staging, commit, push, Terraform plan/apply/destroy,
deployment, rollback execution or teardown execution.
Do not rely on another conversation. Re-read this complete contract and the current repository
before editing.
2. Approved business and technical outcome
Implement W5-002 Phase A so that:
an untrusted pull request can run least-privilege quality, secret, IaC-policy and offline
regression checks without receiving an environment, OIDC token, AWS access or deployment
authority;
a separate manually requested, protected-main workflow can use the approved sandbox
environment and exact GitHub OIDC trust contract for a backend-disabled,
refresh-disabled speculative Terraform plan;
one immutable Linux AMD64 OCI candidate archive is built from one exact source commit;
Trivy, Grype and both Syft SBOM formats consume that same candidate identity;
image, scan, SBOM, provenance and eligibility facts reconcile to the same digest;
only allowlisted, bounded, redacted reports become short-lived GitHub artifacts;
every mandatory failure rejects the candidate without automatic remediation or fallback.
This cycle does not publish an image to ECR, deploy an application, apply or destroy Terraform,
perform Kubernetes work, invoke Bedrock, perform production rollback or prove cloud readiness.
W6-01/ECR publication remains outside W5-002 Phase A.
W5-001’s Bedrock evaluation remains formally FAIL. W5-002 must preserve that fact in its
configuration, tests and eligibility output. Successful CI or supply-chain checks must not
convert the model result to PASS or make the candidate deployable.
3. Exact approved baseline
Item
Exact approved value
Repository root
E:\AI\enterprise_ai_platform
Repository remote
https://github.com/gprai/enterprize_ai_platform.git
Branch
main
HEAD
b77b06f907ec55f207474af92396c473771834e6
Workflow directory
.github/ absent
W5-002 lockfiles
All five CREATE targets absent
Excel tracker
Open and owner-controlled; excluded
Excel lock
May appear or disappear; owner-controlled and non-blocking
Approved governing hashes:
Governing source/evidence
SHA-256
ADR-000
49364beca414cf478ce277ddeacc2134021014c5061f4545585f51f4604ada68
Source of Truth v1.1
d4ce5c6d2cbba3704e8f7f385edeb16573cf21e009b1bf7e87914bace03fb04f
Coaching Blueprint
a46596aed881d0c6a7804ff332013a7e72f465be11810b6be8ac1c103380f59d
W5 inputs
0a0653f0f3a9ff83e8514326484e8807ee25cc1032a24d4cd85611a3c9df3687
W5-001 evidence
70d0ed6600303cffc035380bc0ac063d6158ed094fbd3eb82ed78f04a8b10848
W5-003 evidence
9eb2ce6958a1dda0415dfc0778af1c0d024b3bf1debee01b472a518cceb2d188
Tracker last successfully inspected
b9f9ad447c77f7ed2e0d583536b956af2aa4b28783414868367105dd59146ccf
The tracker hash is historical because the workbook was open during Gate 1. Do not treat a
currently unreadable or locked workbook as drift. Do not edit, save, close, hash, stage or
delete it.
Protected owner working-tree state
The completed W5-003 implementation and documentation are pre-existing owner work. Expected
status before W5-002 editing is:
the following 18 W5-003 implementation paths are staged;
docs/test-evidence/README.md contains the approved W5-003 documentation update as an
unstaged tracked modification;
the three W5-003 evidence documents are untracked until later owner Git action;
the Excel workbook and its optional ~$ lock remain owner-controlled.
Protected staged W5-003 implementation paths:
.checkov.yml
policies/opa/exceptions.json
tests/contract/test_policy_exception_contract.py
tests/feature/test_policy_gate.py
tests/rollback/test_policy_pack_rollback.py
tests/security/test_policy_pack.py
tests/teardown/test_policy_pack_cleanliness.py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Protected W5-003 documentation paths:
docs/test-evidence/W5-003.md
docs/test-evidence/W5-06-policy.txt
docs/test-evidence/W5-policy.txt
docs/test-evidence/README.md
Several W5-002 UPDATE paths already contain staged W5-003 changes. Preserve and extend their
current working-tree contents. Never reconstruct them from HEAD, reset their index entries or
overwrite the W5-003 content. A shared path may correctly become MM: the approved W5-003
version remains staged while the W5-002 delta remains unstaged.
4. Mandatory Gate 2 revalidation before editing
Immediately before the first edit:
Confirm repository root, remote, branch and exact HEAD.
Capture complete short status, staged paths, unstaged paths and untracked paths separately.
Reconcile every existing path to the protected W5-003 or owner-controlled Excel boundary.
Confirm all 19 CREATE targets are absent.
Confirm all 12 UPDATE targets exist and re-read their current working-tree content.
Confirm shared W5-003/W5-002 patch contexts are viable without removing staged content.
Re-read every VERIFIED UNCHANGED consumer in Section 7.
Recalculate every readable governing hash above.
Confirm W5-001 formal FAIL and W5-003 completion remain unchanged.
Confirm no W5-002 report, OCI archive, SBOM, plan summary, builder, cache, Terraform runtime
directory, scanner database or unexpected residue exists in the repository.
Confirm no owner change overlaps a W5-002-only target.
If branch, HEAD, remote, path classification, protected content, staged state, patch context,
readable hash or residue differs, edit nothing and return exactly:
BLOCKED — BASELINE CHANGED — W5-002.
Do not absorb a new path, unstage anything, restore from HEAD, guess a patch anchor or resolve
an owner change without new approval.
5. Prerequisites and authority
W5-003/W5-06 is complete through owner testing, Column M and Column N.
W5-04 IAM/OIDC Terraform and local contracts exist. Actual AWS provider and role existence
remain NOT RUN.
Authoritative repository identity: gprai/enterprize_ai_platform.
W5-001 remains formal FAIL; it blocks model/deployment approval but not this implementation.
docs/cost-estimates/W5-inputs.md contains a historical repository spelling and remains
deferred to later documentation approval.
Exact OIDC contract:
Repository: gprai/enterprize_ai_platform
Environment: sandbox
Branch: main
Ref: refs/heads/main
Provider: arn:aws:iam::526338061652:oidc-provider/token.actions.githubusercontent.com
Role: arn:aws:iam::526338061652:role/enterprise-ai-platform-sandbox-github-oidc
Audience: sts.amazonaws.com
Subject: repo:gprai/enterprize_ai_platform:environment:sandbox
Session duration: 900 seconds
No IAM-user key, repository secret, static AWS credential or fallback identity is approved.
6. Exact approved edit manifest
CREATE — exactly 19
.github/workflows/ci.yml
.github/workflows/plan-sandbox.yml
.github/workflows/security-scan.yml
configs/ci/w5-002.json
docker/application.Dockerfile
docker/application.Dockerfile.dockerignore
requirements-runtime.lock
requirements-ci.lock
requirements-checkov.lock
infra/bootstrap/.terraform.lock.hcl
infra/environments/sandbox/.terraform.lock.hcl
tools/w5_002_ci.py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UPDATE — exactly 12
.gitignore
Makefile
pyproject.toml
feature-matrix.yaml
tools/platformctl/validate.py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DELETE — exactly 0
None.
No path may move between classifications without a new owner approval.
Lockfile exception to ordinary editing
These five CREATE paths are part of the manifest but must not be typed, copied, approximated
or invented by Codex:
requirements-runtime.lock
requirements-ci.lock
requirements-checkov.lock
infra/bootstrap/.terraform.lock.hcl
infra/environments/sandbox/.terraform.lock.hcl
Their bytes must come from the owner-controlled Python 3.11.16 and Terraform 1.16.1 generation
process in Section 13. Column L pauses for that separately authorized materialization. Do not
create empty placeholders.
7. VERIFIED UNCHANGED consumers — read-only
.pre-commit-config.yaml
.secrets.baseline
.tflint.hcl
.checkov.yml
requirements.txt
requirements-dev.txt
requirements-checkov.txt
infra/bootstrap/versions.tf
infra/environments/sandbox/versions.tf
infra/environments/sandbox/main.tf
infra/environments/sandbox/variables.tf
infra/environments/sandbox/terraform.tfvars.example
infra/modules/iam/main.tf
infra/modules/iam/variables.tf
infra/modules/iam/outputs.tf
policies/opa/exceptions.json
policies/opa/terraform_plan.rego
policies/opa/terraform_plan_test.rego
tests/contract/test_policy_exception_contract.py
tests/feature/test_policy_gate.py
tests/security/test_policy_pack.py
tests/rollback/test_policy_pack_rollback.py
tests/teardown/test_policy_pack_cleanliness.py
configs/eval/w3-002.yaml
configs/eval/golden.jsonl
configs/eval/baselines/w3-002-v1.json
configs/rag.yaml
configs/rag/versions/w3-002-v1.json
Also preserve every existing W3 evaluation/security/cleanliness test, the application source
package, and existing W2 Dockerfiles and Compose files. If a newly discovered consumer cannot
remain unchanged, stop and request a new manifest approval.
8. Exact UPDATE contexts
Path
Approved bounded change
.gitignore
Add only W5-002 runtime/report exclusions; do not hide tracked locks or unrelated residue
Makefile
Add nine bounded w5-002-* targets plus .PHONY/help; no deploy, apply, destroy, push or remediation target
pyproject.toml
Add tools/w5_002_ci.py to strict MyPy scope only
feature-matrix.yaml
Append GHA-001, status In Progress, linked only to W5-07/W5-08 and approved paths
tools/platformctl/validate.py
Add GHA identity, order, required files and expected paths without weakening validation
tests/unit/test_platformctl.py
Add exact GHA identity/order/path assertions
tests/feature/test_feature_matrix.py
Reconcile the exact tenth feature and ownership assertions
tests/feature/test_w2_002_embedder_contract.py
Extend only the hard-coded feature-ID consumer
tests/feature/test_w2_003_ingestion_contract.py
Extend only the feature tuple/list consumer
tests/integration/test_dependency_contract.py
Add three Python locks, hashed/no-deps installation and isolated Checkov assertions
tests/teardown/test_repository_cleanliness.py
Permit only the two tracked Terraform lockfiles; continue rejecting runtime/state/cache residue
tests/teardown/test_terraform_state_boundary.py
Distinguish tracked provider locks from .terraform/, state, plan and backend residue
Preserve all staged W5-003 content in shared files.
9. Workflow and trust contracts
.github/workflows/ci.yml
Implement unprivileged pull-request CI:
concurrency group w5-002-pr-${{ github.event.pull_request.number }};
cancel older duplicate runs;
top-level permissions: {} and only contents: read for the checkout job;
no pull_request_target, environment, OIDC, AWS role or repository secret;
no Terraform apply/destroy, image push or deployment;
quality timeout 15 minutes;
IaC/offline regression timeout 20 minutes;
only the exact action SHAs in Section 11;
install from approved hash-locked CI and Checkov inputs using
--require-hashes --no-deps;
run quality, secret, Terraform static, TFLint, Checkov, OPA and ordinary offline gates through
explicit bounded commands.
An untrusted or fork PR must never reach the trusted-plan/AWS identity path.
.github/workflows/plan-sandbox.yml
Implement a separate manual trusted-main speculative-plan workflow:
explicit manual trigger only;
concurrency group w5-002-plan-sandbox; cancel older duplicates;
verify exact repository, refs/heads/main, source commit and environment before OIDC;
use protected GitHub environment sandbox;
grant id-token: write only to the plan job with minimum other permissions;
assume only the approved role/audience for 900 seconds;
no static credential or alternate-role fallback;
speculative Terraform plan only, with backend and refresh disabled;
never apply, destroy, import or mutate remote state;
retain no raw plan; upload only the approved redacted summary;
plan timeout 20 minutes;
artifact w5-002-plan-summary, retention 7 days;
reject wrong identity, OIDC denial, expiry, unsafe output, partial policy execution or upload
failure.
Actual GitHub OIDC, AWS role assumption and hosted execution remain NOT RUN until separately
authorized.
.github/workflows/security-scan.yml
Implement the reusable candidate supply-chain workflow:
concurrency group w5-002-supply-chain-${{ github.sha }};
cancel older duplicates;
timeout 30 minutes; maximum complete hosted-run ceiling 60 minutes;
no AWS permission, OIDC, environment, registry login, image push or deployment;
build one Linux AMD64 OCI archive from one source commit using the approved BuildKit;
do not daemon-load or publish it;
run Trivy filesystem plus Trivy/Grype OCI scanning;
generate SPDX JSON and CycloneDX JSON from the same OCI candidate with Syft;
reject every CRITICAL vulnerability;
reject partial scan/SBOM output, digest mismatch, unknown report, oversize artifact, sensitive
output or hidden W5-001 status;
reconcile reports through the strict helper contract;
upload only w5-002-supply-chain, retained 7 days.
No floating action tag, actions/cache, mutable image tag or automatic provider/region/model
substitution is approved.
10. Configuration, schema and artifact contracts
Create configs/ci/w5-002.json as strict canonical JSON with schema:
w5-002.ci-config.v1
It binds repository/ref/environment/OIDC identity, runner/tool versions, action pins, image and
provider identities, vulnerability policy, artifact limits, plan expiry,
qdrant_required=false, and W5-001 formal status FAIL.
Generated schemas:
w5-002.image-identity.v1
w5-002.plan-summary.v1
w5-002.provenance.v1
w5-002.eligibility.v1
Project JSON is UTF-8 without BOM, sorted-key, compact and has exactly one final newline.
Missing, extra, duplicate, malformed, non-finite, expired, sensitive, reordered contractual
lists or digest-mismatched values fail closed.
Approved report allowlist:
reports/w5-002/image-identity.json
reports/w5-002/trivy-filesystem.json
reports/w5-002/trivy-image.json
reports/w5-002/grype-image.json
reports/w5-002/sbom.spdx.json
reports/w5-002/sbom.cyclonedx.json
reports/w5-002/provenance.json
reports/w5-002/eligibility.json
reports/w5-002/terraform-plan-summary.json
Artifact contract:
Supply-chain artifact: w5-002-supply-chain
Plan artifact: w5-002-plan-summary
Retention: 7 days
Maximum per file: 50 MiB
Maximum per run: 100 MiB
Raw plans/logs, environment dumps, source archives, credentials, secrets, prompts, answers,
provider responses and W5-001 reports are prohibited.
tools/w5_002_ci.py is a deterministic, content-safe validation/canonicalization,
plan-summary, allowlist, identity-reconciliation, provenance and eligibility helper. It must not
call AWS, GitHub, Docker, Terraform, scanners or the network. External tools remain workflow or
owner processes; the helper consumes normalized outputs.
11. Exact immutable identities
GitHub Actions
actions/checkout@9c091bb21b7c1c1d1991bb908d89e4e9dddfe3e0
actions/setup-python@5fda3b95a4ea91299a34e894583c3862153e4b97
actions/upload-artifact@043fb46d1a93c77aae656e7c1c64a875d1fc6a0a
hashicorp/setup-terraform@dfe3c3f87815947d99a8997f908cb6525fc44e9e
aws-actions/configure-aws-credentials@e6de054238d6b7531b4efff3b6587d9aade6a06c
docker/setup-buildx-action@d7f5e7f509e45cec5c76c4d5afdd7de93d0b3df5
Python lock resolver
Python: 3.11.16
pip: 26.2.1
pip-tools: 7.6.1
pip-tools source SHA-256: 695556edeb647eb94ee8345cc7108657fdb7fb16b3876623a399b4f61bbede01
Resolver: backtracking
Lock mode: generated hashes
Install mode: --require-hashes --no-deps
Terraform and AWS provider
Terraform: 1.16.1
AWS provider: 6.55.0
Platforms: linux_amd64, windows_amd64
Terraform Linux AMD64 archive SHA-256: 745d33b4b02b7980c62a38ec1beea24ee084ea8caf3f503c200554bd9a0cbe49
Terraform Windows AMD64 archive SHA-256: 5c6c6d8fedf56ce29c55f0c1fc91de3c259f42c2d220a28e827b5b60fd47bfa1
AWS provider Linux AMD64 archive SHA-256: f7383732f8704099db2166a3516e0a803bf46f42c30cd20a0471b55658ae6e51
AWS provider Windows AMD64 archive SHA-256: e1bf63e8a6b9790836f74848b458cdf679a7841e66a25b4b9f6034efc9310b34
BuildKit and application image
BuildKit: v0.30.0
BuildKit Linux AMD64 image: moby/buildkit:v0.30.0@sha256:57269d1784e49b46228c45a1a1b870fbe40e0a639ab60b37b032d83af5bccdfc
BuildKit multi-platform index: sha256:0168606be2315b7c807a03b3d8aa79beefdb31c98740cebdffdfeebf31190c9f
Builder: enterprise-ai-platform-w5-002
Application base: python:3.11.16-slim-bookworm@sha256:b1add8a6f2aca6bcfcf0b9c9b522352f7ce0d62a3d556a2f2f32511aa0cca250
Platform: linux/amd64
Output: OCI archive only
Security, policy and SBOM tools
actionlint: 1.7.12 — E:\AI\.tools\actionlint\1.7.12\actionlint.exe
Trivy: 0.74.0 — E:\AI\.tools\trivy\0.74.0\trivy.exe
Grype: 0.118.0 — E:\AI\.tools\grype\0.118.0\grype.exe
Syft: 1.51.1 — E:\AI\.tools\syft\1.51.1\syft.exe
OPA: 1.20.0 — E:\AI\.tools\opa\1.20.0\opa.exe
TFLint: 0.60.0 — E:\AI\.tools\tflint\0.60.0\tflint.exe
TFLint AWS ruleset: 0.48.0
Checkov: 3.3.16 — E:\AI\.venvs\enterprise-ai-platform-checkov-3.3.16
No unapproved action/tool/image identity or floating reference is permitted. No installation,
download, extraction or provenance lookup is authorized by Column L.
12. Dockerfile and build-context contract
docker/application.Dockerfile must use the exact base digest, install only
requirements-runtime.lock with --require-hashes --no-deps, use deterministic no-cache
behavior, run as a fixed non-root user, copy only minimum runtime content, contain no credential
or secret build argument, and add no registry push/deployment behavior.
docker/application.Dockerfile.dockerignore must exclude Git metadata, local environments,
non-runtime tests/docs/Terraform, reports, caches, state, plans, secrets, Excel/Office files and
W5-001 evidence. It must not hide a required runtime file.
One OCI archive is authoritative. Every image scanner and SBOM generator consumes that same
archive and digest. Separate rebuilds are prohibited.
13. Owner-controlled five-lockfile materialization gate
Column L has three phases.
L1 — Deterministic edits
After Gate 2, create/update only approved non-lockfile paths. Keep all five lockfiles absent.
Do not create placeholders or dependency hashes.
After L1, return the completed non-lockfile manifest, confirm the five absences, and provide the
complete owner lock-generation guide with each command’s purpose, expected output,
network/cache/provenance impact and stop condition. End exactly:
LOCKFILE MATERIALIZATION REQUIRED — W5-002.
This required pause does not authorize the owner commands.
L2 — Separately authorized owner generation
Use only:
Python environment: E:\AI\.venvs\enterprise-ai-platform-w5-002-py311
Python version: 3.11.16
pip version: 26.2.1
pip-tools version: 7.6.1
PIP_CACHE_DIR: E:\AI\.pip-cache\enterprise-ai-platform-w5-002
Terraform version: 1.16.1
TF_PLUGIN_CACHE_DIR: E:\AI\.terraform-cache\enterprise-ai-platform-w5-002
Terraform platforms: linux_amd64, windows_amd64
Generate independently:
requirements-runtime.lock from requirements.txt;
requirements-ci.lock from requirements-dev.txt;
requirements-checkov.lock from requirements-checkov.txt;
infra/bootstrap/.terraform.lock.hcl from the bootstrap root;
infra/environments/sandbox/.terraform.lock.hcl from the sandbox root.
Python locks use backtracking resolution and generated hashes. Installation later uses
--require-hashes --no-deps. Terraform locks record AWS provider 6.55.0 for both platforms
and are reviewed against the approved official hashes.
Generation may contact PyPI and the HashiCorp registry and create only the approved external
caches/temp paths. It requires explicit owner installation/network approval. Version, hash,
signature, provenance or platform mismatch is a hard stop.
L3 — Verification and continuation
After owner L2 completion, require renewed continuation approval. Revalidate the full baseline,
confirm only the five expected files appeared, validate every exact hashed Python dependency,
reconcile each input, confirm Terraform/AWS-provider versions and both platforms, compare the
approved official hashes, and confirm no .terraform/, venv, report, plan, state or cache
entered the repository.
If anything differs, stop without editing and return:
BLOCKED — LOCKFILE MATERIALIZATION MISMATCH — W5-002.
W5-002 is not ready for TEST-001 until L3 passes and all 31 paths are complete.
14. Automated-test contract
The seven new test files must cover:
tests/unit/test_w5_002_ci.py: strict JSON/canonical serialization, four schemas, immutable
identities, artifact bounds, digest reconciliation, safe errors, deterministic ordering and
W5-001 FAIL preservation.
tests/contract/test_w5_002_workflow_contract.py: YAML, triggers, permissions, action SHAs,
concurrency, timeouts, trust separation, OIDC, hashed installs and artifact contracts.
tests/integration/test_w5_002_ci_composition.py: config/helper/workflow/Make/feature
composition, secure normalized fixtures, lock consumers and fail-closed partial output.
tests/feature/test_w5_002_supply_chain.py: one candidate across BuildKit/scans/SBOMs,
CRITICAL rejection, stale/missing/mismatched results, limits and eligibility.
tests/security/test_w5_002_ci_security.py: untrusted-PR zero privilege, denial before OIDC,
no static credentials, exact trust, safe artifacts, injection resistance and redaction.
tests/rollback/test_w5_002_workflow_rollback.py: safe workflow-disable/revert boundary with
no state, AWS, publication, evidence or unrelated mutation.
tests/teardown/test_w5_002_cleanliness.py: no repository archive, report, plan, state,
.terraform, scanner database, builder, cache, bytecode or temp residue.
Never commit a complete synthetic secret-shaped value. Construct it only at runtime from safe
fragments, never print it, retain it only under the approved external test temp, and verify
detection, redaction and cleanup.
Updated tests retain all existing assertions. Local/static tests do not prove hosted workflows,
OIDC, AWS, vulnerability-database freshness, Docker build, upload/retention, Terraform plan or
deployment.
15. Failure, concurrency and lifecycle rules
Wrong repository/ref/environment stops before OIDC.
Fork/untrusted PR receives no environment, OIDC, AWS, secret or privileged workflow.
OIDC denial is FAIL; no static credential fallback.
Dependency/action/tool resolution failure is bounded then FAIL; no floating fallback.
Test, secret, IaC-policy or CRITICAL vulnerability failure rejects the candidate.
Missing, partial, malformed, expired, oversize or digest-mismatched output is FAIL.
OPA/Checkov disagreement or partial execution is FAIL.
Sensitive/unapproved output is not uploaded; upload failure is FAIL.
Hiding, weakening or converting W5-001 status is a hard failure.
Cancellation performs only bounded task-owned cleanup; no replacement work.
No failure triggers remediation, apply/destroy, deployment or cloud rollback.
Workflow rollback means disable/revert or reject the candidate.
Release and infrastructure rollback remain NOT RUN.
Teardown removes only W5-002 builder/archive/reports/caches/temp-plan data after evidence and
approval.
Use the exact concurrency/timeouts in Section 9. No unbounded queue, retry loop, parallel
rebuild or second candidate identity.
16. Approved external environment and residue boundaries
These values are for later separately approved owner setup/TEST-001. Column L must not create,
execute, install into or clean them:
$repoRoot = 'E:\AI\enterprise_ai_platform'
$taskPython = 'E:\AI\.venvs\enterprise-ai-platform-w5-002-py311\Scripts\python.exe'
$taskScripts = 'E:\AI\.venvs\enterprise-ai-platform-w5-002-py311\Scripts'
$checkovPython = 'E:\AI\.venvs\enterprise-ai-platform-checkov-3.3.16\Scripts\python.exe'
$checkovCli = 'E:\AI\.venvs\enterprise-ai-platform-checkov-3.3.16\Scripts\checkov'
$actionlint = 'E:\AI\.tools\actionlint\1.7.12\actionlint.exe'
$trivy = 'E:\AI\.tools\trivy\0.74.0\trivy.exe'
$grype = 'E:\AI\.tools\grype\0.118.0\grype.exe'
$syft = 'E:\AI\.tools\syft\1.51.1\syft.exe'
$opa = 'E:\AI\.tools\opa\1.20.0\opa.exe'
$tflint = 'E:\AI\.tools\tflint\0.60.0\tflint.exe'
$env:PIP_CACHE_DIR = 'E:\AI\.pip-cache\enterprise-ai-platform-w5-002'
$env:PRE_COMMIT_HOME = 'E:\AI\.pre-commit-cache\enterprise-ai-platform-w5-002'
$env:TF_PLUGIN_CACHE_DIR = 'E:\AI\.terraform-cache\enterprise-ai-platform-w5-002'
$env:TFLINT_PLUGIN_DIR = 'E:\AI\.tflint-cache\enterprise-ai-platform-w5-002'
$env:TEMP = 'E:\AI\.tmp\enterprise-ai-platform-w5-002\owner-test-01'
$env:TMP = $env:TEMP
$taskPytestBaseTemp = 'E:\AI\.tmp\enterprise-ai-platform-w5-002\owner-test-01\pytest'
$dockerCache = 'E:\AI\.docker-cache\enterprise-ai-platform-w5-002'
$runtimeRoot = 'E:\AI\.runtime\enterprise_ai_platform\w5-002\owner-test-01'
$env:TRIVY_CACHE_DIR = Join-Path $runtimeRoot 'trivy-cache'
$env:GRYPE_DB_CACHE_DIR = Join-Path $runtimeRoot 'grype-db'
$env:Path = "$taskScripts;$env:Path"
Set-Location -LiteralPath $repoRoot
No cache/runtime path may be inside the repository. W5-001 reports, W5-003 evidence and all
shared/previous-task caches are protected. Never broadly delete a parent directory.
17. Planned owner TEST-001 guide — not authorized by Column L
After L3, return all owner TEST-001 commands together, grouped by topic. Each topic must state
purpose, exact command, expected result, cost/access/privacy impact, residue and stop condition.
The guide begins with Section 16’s block, then:
&amp; $taskPython --version
(Get-Command python -ErrorAction Stop).Source
(Get-Command detect-secrets-hook -ErrorAction Stop).Source
&amp; $taskPython -B -m pre_commit --version
&amp; $taskPython -m pip show detect-secrets
&amp; $taskPython -B -m pip check
&amp; $checkovPython -B -m pip check
&amp; $actionlint -version
&amp; $trivy --version
&amp; $grype version
&amp; $syft version
&amp; $opa version
&amp; $tflint --version
terraform version
docker version
Every Pytest command uses --basetemp $taskPytestBaseTemp.
Required topic order:
environment/executable provenance;
branch, HEAD, remote and complete staged/unstaged/untracked boundary;
owner-authorized exact external directory creation;
dependency consistency and all five locks;
configuration/canonical JSON validation;
scoped Ruff lint and format check over changed Python paths;
LF and git diff --check;
strict MyPy without repository cache;
focused seven-file W5-002 suite;
changed feature/platform/dependency/cleanliness consumers;
protected W3 offline regression;
full ordinary Pytest with AWS/paid exclusions unchanged;
platform validation;
actionlint over the three workflows;
Terraform format, backend-disabled read-only initialization and validation for both roots;
TFLint, Checkov and OPA local policy validation;
separately approved BuildKit one-OCI build without load/push;
Trivy filesystem/OCI scans;
Grype scan of the same OCI;
Syft SPDX/CycloneDX from the same OCI;
helper digest/provenance/report/eligibility reconciliation;
workflow-disable rollback test;
exact cleanup and zero residue;
final paths/status/whitespace/line endings/hashes/secret scan;
separate Git approval before exact staging/pre-commit;
optional hosted run only under new explicit approval.
Focused command:
&amp; $taskPython -B -m pytest -q `
  --basetemp $taskPytestBaseTemp `
  .\tests\unit\test_w5_002_ci.py `
  .\tests\contract\test_w5_002_workflow_contract.py `
  .\tests\integration\test_w5_002_ci_composition.py `
  .\tests\feature\test_w5_002_supply_chain.py `
  .\tests\security\test_w5_002_ci_security.py `
  .\tests\rollback\test_w5_002_workflow_rollback.py `
  .\tests\teardown\test_w5_002_cleanliness.py
Workflow static validation:
&amp; $actionlint `
  .\.github\workflows\ci.yml `
  .\.github\workflows\plan-sandbox.yml `
  .\.github\workflows\security-scan.yml
Required local/static commands must also include:
git rev-parse --show-toplevel
git remote get-url origin
git branch --show-current
git rev-parse HEAD
git status --short --untracked-files=all
git diff --name-only
git diff --cached --name-only
$changedPythonPaths = @(
  'tools/w5_002_ci.py',
  'tools/platformctl/validate.py',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
&amp; $taskPython -B -m ruff check --no-cache -- $changedPythonPaths
&amp; $taskPython -B -m ruff format --check --no-cache -- $changedPythonPaths
&amp; $taskPython -B -m mypy --no-incremental --cache-dir=nul --show-traceback
&amp; $taskPython -B -m pytest -q `
  --basetemp $taskPytestBaseTemp `
  .\tests\unit\test_platformctl.py `
  .\tests\feature\test_feature_matrix.py `
  .\tests\feature\test_w2_002_embedder_contract.py `
  .\tests\feature\test_w2_003_ingestion_contract.py `
  .\tests\integration\test_dependency_contract.py `
  .\tests\teardown\test_repository_cleanliness.py `
  .\tests\teardown\test_terraform_state_boundary.py
&amp; $taskPython -B -m pytest --basetemp $taskPytestBaseTemp
&amp; $taskPython -B -m tools.platformctl validate
terraform fmt -check -recursive .\infra
terraform -chdir=.\infra\bootstrap init -backend=false -lockfile=readonly
terraform -chdir=.\infra\bootstrap validate
terraform -chdir=.\infra\environments\sandbox init -backend=false -lockfile=readonly
terraform -chdir=.\infra\environments\sandbox validate
&amp; $tflint --chdir=.\infra\bootstrap
&amp; $tflint --chdir=.\infra\environments\sandbox
&amp; $checkovCli --config-file .\.checkov.yml -d .\infra
&amp; $opa check --strict .\policies\opa
&amp; $opa test .\policies\opa --verbose
git diff --check
git status --short --untracked-files=all
The two Terraform init commands may create .terraform/ directories even with
-lockfile=readonly. They therefore require the approved external plugin-cache boundary and
must be followed by exact task-owned cleanup; inability to keep or clean them within the
approved lifecycle is a stop. They do not authorize a plan, apply, destroy, backend access or
AWS call.
Do not issue a Docker build, scanner database download, hosted workflow, OIDC, AWS or upload
command until its external/network/runtime approval is explicit. Local TEST-001 approval does
not authorize them.
Classify each result PASS, FAIL, NOT RUN or INDETERMINATE; record skips, deselections and
warnings separately. Stop on first mandatory failure. Only read-only diagnosis is then allowed;
remediation requires a new bounded approval.
If sandbox access alone blocks an external path, classify execution-environment failure, not
product failure; do not change source. Format precedes integrity hashes. Any final
detect-secrets candidate stays outside the repository and exposes only version, plugin/fil</t>
  </si>
  <si>
    <t>COLUMN M — EXACT DOCUMENT WRITING APPROVAL — W5-002
This is a separate, owner-controlled documentation approval following W5-002 implementation and owner testing.
W5-002 remains formally **FAIL** at the mandatory OCI vulnerability gate. The successful SBOM generation does not change the failed security-gate result, make the candidate eligible, or establish production readiness.
## 1. Permission boundary
This approval authorizes documentation changes only.
It does not authorize:
- Application, test, configuration, workflow, dependency, Dockerfile, IaC, policy, or schema changes.
- Test execution or remediation.
- Rebuilding or rescanning an image.
- Regenerating or modifying either SBOM.
- Provenance generation or eligibility reconciliation.
- Network, AWS, OIDC, Terraform plan/apply, deployment, rollback, or teardown activity.
- Package or tool installation.
- Evidence deletion or cleanup.
- Excel tracker changes.
- Git staging, commit, push, merge, tag, or release.
- Starting W5-003 or another task.
Preserve all unrelated owner-controlled changes.
## 2. Exact documentation manifest
Classify every authorized path under one—and only one—heading.
### CREATE — 3
- `docs/test-evidence/W5-002.md`
- `docs/test-evidence/W5-07-ci.txt`
- `docs/test-evidence/W5-08-supply-chain.txt`
### UPDATE — 1
- `docs/test-evidence/README.md`
### DELETE — 0
None.
### VERIFIED UNCHANGED
- `docs/deployment-records/W6-image.md`
This file remains deferred and must not be created or modified.
### EXCLUDED
Every repository path not listed under CREATE or UPDATE is excluded, including:
- Application source code.
- Automated tests.
- GitHub Actions workflows.
- Dockerfiles and container configuration.
- Terraform, OPA, Checkov and TFLint files.
- Dependency and lock files.
- Generated reports and retained evidence.
- SPDX and CycloneDX SBOM artifacts.
- Excel trackers and Office lock files.
- Git state and repository history.
## 3. Mandatory read-only preflight
Before writing:
1. Confirm all three CREATE paths are absent.
2. Confirm `docs/test-evidence/README.md` exists and re-read its current content.
3. Confirm `docs/deployment-records/W6-image.md` will remain unchanged.
4. Re-read the owner-supplied W5-002 results and the retained evidence metadata.
5. Confirm no target path or governing fact has materially changed.
6. Preserve all existing final approvals and historical results.
7. Stop without editing if:
   - A CREATE target already exists.
   - The README baseline has materially changed.
   - An owner fact conflicts with available evidence.
   - Any additional documentation path appears necessary.
   - Any result would have to be inferred or invented.
Do not run commands, tests, scanners, formatters, builds, applications, containers, or external calls during Column M.
## 4. Governing W5-002 result
Record the final disposition exactly:
&gt; **W5-002 TEST-001 — FAIL**
The testing cycle is closed, but the result remains FAIL because no evaluated OCI candidate passed the mandatory zero-critical-vulnerability gate.
Do not convert the result to:
- PASS
- PASS WITH WARNINGS
- APPROVED
- ELIGIBLE
- PRODUCTION READY
The candidate OCI image remains:
- **Rejected**
- **Ineligible**
- **Not approved for release or deployment**
No critical-CVE waiver or exception was granted.
## 5. Local validation results
Record the owner-reported local validation results exactly as supplied.
Include all confirmed PASS results for:
- Pytest and focused automated tests.
- Ruff lint and formatting checks.
- Strict MyPy.
- Platform contract validation.
- Terraform formatting.
- Terraform bootstrap validation.
- Terraform sandbox validation.
- Checkov.
- OPA policy tests.
- TFLint and its approved AWS ruleset.
- Workflow, security, rollback and cleanliness checks that were actually executed.
- Terraform initialization-residue cleanup already reported as PASS.
Preserve exact counts and tool versions where supplied by the owner evidence.
Do not infer PASS for any unreported command or activity.
## 6. Mandatory OCI vulnerability findings
Record the vulnerability evidence without weakening or reinterpreting it:
### Bookworm candidate
- Trivy reported **5 critical findings**.
- Candidate failed the mandatory security gate.
### Trixie/`slim` candidate
- Trivy reported **3 critical findings**.
- The remaining findings were attributed to Debian’s `perl-base`.
- No currently fixed version was reported for the complete finding set.
- One fix remained deferred.
- Changing to Trixie reduced the finding count but did not satisfy the zero-critical gate.
Also record:
- Application code was not identified as the source of these critical findings.
- Python application dependencies were not identified as their source.
- No tested candidate passed the mandatory gate.
- No approved replacement base-image digest exists.
- Retesting is deferred until a compatible fixed Debian/Python base-image digest becomes available.
- Research into a different base-image family requires a separate compatibility and approval cycle.
- No time-bounded or permanent critical-CVE waiver was granted.
## 7. OCI-layout remediation history
Preserve the historical sequence:
- The initial Trivy OCI-layout operation failed.
- The issue was remediated within the approved boundary.
- The OCI-layout scan was rerun successfully.
- The successful scanner execution still reported release-blocking critical vulnerabilities.
- Therefore, successful scanner operation did not make the image eligible.
Historical failures must remain recorded and must not be rewritten as if they never occurred.
## 8. Completed SBOM evidence
The earlier SBOM `NOT RUN` classification is superseded by the following owner-approved and completed evidence generation.
Record both artifacts as successfully generated and retained.
### SPDX SBOM
- Specification: **SPDX 2.3**
- Package count: **261**
- File size: **1,914,593 bytes**
- SHA-256:
  `cb997284ba6ef99e522d5b4c6bff6d8df5799eb39849f50d6254a0b59b7af3b2`
### CycloneDX SBOM
- Specification: **CycloneDX 1.7**
- Component count: **792**
- File size: **876,144 bytes**
- SHA-256:
  `bdbbaa8e41b253771a4a2337cb284b5ef534c5ab42225a74d9ee466aab39637d`
### SBOM generation facts
- Syft version: **1.51.1**
- Source OCI SHA-256 remained unchanged:
  `ac4be6c885c21414b508f75f39b65f370109fb317bebe57000d777908ba329ba`
- Network activity: **None**
- Syft’s optional user-cache creation was denied by the execution sandbox.
- The cache denial was non-blocking.
- No Syft user cache was created.
- Both SBOMs and their supporting evidence are retained.
- SBOM generation does not override the failed vulnerability gate.
- SBOM generation does not prove provenance, release eligibility, image safety, or production readiness.
Do not reproduce the complete SBOM contents in the documentation. Record only the approved metadata, hashes, counts, status, limitations, and evidence locations supplied by the owner.
## 9. Work remaining NOT RUN
Record these distinctly as `NOT RUN`, without converting them to PASS:
- Provenance generation.
- Provenance verification.
- Final candidate-eligibility reconciliation.
- GitHub-hosted workflow execution.
- GitHub OIDC federation.
- AWS authentication or account activity.
- Terraform plan.
- Terraform apply.
- Container registry push.
- Application deployment.
- Production execution.
- Infrastructure rollback.
- Cloud teardown.
- Production SLO, performance, capacity, availability, or cost verification.
SBOM generation is no longer in this list.
## 10. W5-07 CI evidence
In `docs/test-evidence/W5-07-ci.txt`, record:
- Which local CI/workflow contract and security checks passed.
- Which GitHub-hosted workflow activities remain NOT RUN.
- OIDC and AWS activities remain NOT RUN.
- No image was pushed or deployed.
- Local PASS results do not prove hosted-runner or production behavior.
- The final W5-002 result remains FAIL because the OCI security gate is mandatory.
## 11. W5-08 supply-chain evidence
In `docs/test-evidence/W5-08-supply-chain.txt`, record:
- Candidate OCI identity and rejected status.
- Bookworm and Trixie critical-vulnerability results.
- Trivy OCI-layout failure, remediation and successful rerun.
- Successful SPDX and CycloneDX SBOM generation.
- Exact Syft version, counts, sizes and hashes.
- Unchanged source OCI SHA-256.
- No network activity during SBOM generation.
- Non-blocking Syft cache-denial fact.
- Provenance and final eligibility reconciliation as NOT RUN.
- No approved replacement digest.
- No CVE waiver.
- Candidate remains ineligible.
## 12. Aggregate W5-002 record
In `docs/test-evidence/W5-002.md`, include:
1. Business outcome.
2. Implementation boundary.
3. Owner testing summary.
4. Local quality and policy PASS results.
5. Historical failures and successful remediations.
6. Mandatory OCI security-gate FAIL.
7. Bookworm and Trixie findings.
8. Candidate identity and rejected/ineligible status.
9. Completed SPDX and CycloneDX SBOM evidence.
10. Provenance and eligibility work still NOT RUN.
11. Accepted warnings, skips and deselections.
12. Security and release limitations.
13. Deployment, rollback and teardown status.
14. Retained resources and cleanup ownership.
15. W5-001 formal FAIL remaining unchanged.
16. Final owner-review requirements.
17. Tracker-update responsibility remaining owner-only.
Use business-first language, but preserve all technical facts and formal classifications exactly.
## 13. README update
Update `docs/test-evidence/README.md` only to:
- Add the three new W5-002 evidence documents to the index.
- Record W5-002 as **FAIL**, not PASS.
- Record the candidate as rejected and ineligible.
- Record SBOM generation as completed.
- Record provenance and eligibility reconciliation as NOT RUN.
- Preserve W5-001’s existing formal FAIL.
- Preserve all unrelated evidence entries and approvals unchanged.
## 14. Warnings, skips and historical results
Preserve exactly:
- The accepted Starlette/httpx deprecation warning.
- All approved skipped and deselected tests.
- All historical failures and their successful remediation reruns.
- No open result may be silently deleted or reclassified.
- Successful remediation of a tool failure does not erase the historical failure.
- A completed testing cycle does not mean a PASS result.
## 15. Retained resources and cleanup
Record cleanup as:
&gt; **DEFERRED / NOT RUN**
Record all owner-reported retained resources, including as applicable:
- OCI evidence and layouts.
- SPDX and CycloneDX SBOM files.
- Vulnerability reports.
- Test and verification reports.
- Builder state.
- Archives.
- Tool caches.
- Temporary workspaces.
- Images.
- Locally installed tools.
- Reusable CI volume.
- Other explicitly retained W5-002 evidence.
Also record:
- Syft’s optional user cache was not created.
- No cloud resource was created.
- Cloud residual resources: none.
- Retained local artifacts remain under owner control.
- No deletion is authorized by Column M.
- Final cleanup or continued retention requires an explicit owner decision during Column N or a separate cleanup approval.
## 16. Cost, privacy and production limitations
Record:
- No production, cloud, deployment, or SLO claim is established.
- No network activity occurred during the approved SBOM generation.
- No AWS resource was created, changed, or deleted.
- Local CPU, storage and owner time are not represented as zero.
- No credentials, secrets, protected business data, or raw provider responses should be copied into documentation.
- The SBOMs describe the rejected candidate and do not certify it as safe or releasable.
## 17. Relationship to W5-001
Record explicitly:
- W5-001’s formal FAIL remains unchanged.
- W5-002 documentation does not reopen, supersede, or convert W5-001’s result.
- Neither task currently establishes production readiness.
## 18. Final Owner Approval section
Create a clearly labeled `Final Owner Approval` section in each of the four manifest documents.
Leave the following pending for Column N unless already supplied exactly by the owner:
- Reviewer.
- Final decision.
- Approval date and time.
- Timezone.
- Acceptance of the W5-002 FAIL result.
- Acceptance of the rejected/ineligible candidate.
- Acceptance of retained local resources.
- Cleanup owner and later cleanup decision.
- Confirmation that no CVE waiver was granted.
- Confirmation that tracker mutation remains owner-only.
Do not invent an approval timestamp or mark final owner approval complete during Column M.
## 19. Mandatory Column M response
After writing, return:
### COLUMN M APPROVED DOCUMENT MANIFEST — W5-002
Include one row per created or updated document with:
- Exact path.
- Classification.
- Purpose.
- Owner results recorded.
- Final PASS/FAIL status.
- Vulnerability findings.
- SBOM status.
- Provenance/eligibility status.
- Risks and evidence gaps.
- Deployment status.
- Rollback and teardown status.
- Retained resources.
- Fields pending Column N.
- Location of the Final Owner Approval section.
- Column N closure requirement.
Also report:
- CREATE count: 3
- UPDATE count: 1
- DELETE count: 0
- Unexpected document paths: 0
- W5-002 TEST-001: FAIL
- SBOM generation: COMPLETED
- Provenance/eligibility reconciliation: NOT RUN
- Cleanup: DEFERRED / NOT RUN
- Candidate: REJECTED / INELIGIBLE
- Documentation final approval: PENDING COLUMN N
End exactly:
DOCUMENTATION READY FOR OWNER REVIEW — W5-002.</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</si>
  <si>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</si>
  <si>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MAIN PROMPT — W5-003 / W5-06 — OPA AND CHECKOV POLICY PACK
Governing tracker
Tracker: Enterprise_AI_Architecture_6_Week_Execution_Tracker_v1.3.5.xlsx
Prompt ID: W5-003
Tracker step: W5-06
Week: Week 5
Task type: bounded implementation followed by owner testing and separately approved documentation
Current authority: Main Prompt — read-only planning and inspection only
This prompt is a self-contained owner-controlled contract. Do not rely on approvals, paths,
environment details, test results or decisions from another conversation. Re-establish every
current fact from the repository and governing records.
1. Task identity and business purpose
Implement the final W5-06 OPA and Checkov policy-as-code pack so that critical AWS and
Terraform architecture controls are evaluated consistently before any infrastructure apply.
The policy pack must:
deny insecure or non-compliant Terraform-plan-shaped input;
permit compliant input;
support only explicit, narrow, time-bound and owner-approved exceptions;
produce safe findings containing the rule, affected Terraform resource address and
remediation guidance;
avoid exposing secrets, sensitive values, provider payloads or complete Terraform plans;
remain deterministic, locally testable, offline and independent of GitHub Actions;
become the approved policy producer that W5-002/W5-07 later connects to CI.
Business value:
security and governance decisions become executable rather than advisory;
insecure infrastructure is stopped before AWS resources or cost are created;
reviewers receive consistent and auditable reasons for every denial;
exceptions cannot silently become permanent bypasses;
W5-002 can later consume a completed policy pack without circular ownership;
rollback restores the last approved policy version without changing cloud resources.
Measurable acceptance:
every approved secure fixture passes;
each insecure fixture fails for the intended rule;
a disabled, bypassed or unevaluated policy is detected as a test failure;
OPA and Checkov do not contradict one another for overlapping controls;
expired, malformed, overly broad, duplicated or unauthorized exceptions fail closed;
findings are deterministic, content-safe and actionable;
all local quality, security, policy, rollback and cleanliness tests pass under owner
TEST-001;
no Terraform plan/apply/destroy, AWS call, GitHub workflow or deployment is required.
2. Exact tracker position and dependency reconciliation
Upstream tracker dependency
W5-06 depends on W5-03 through W5-05.
Repository evidence supplied before this prompt records that W5-001 implemented and tested
the relevant foundations:
W5-03 security foundation: KMS, private/versioned S3 and secret-metadata controls;
W5-04 IAM foundation: separated roles, bounded trust and reviewed wildcard/resource rules;
W5-05 platform foundation: private encrypted OpenSearch and immutable ECR design;
Terraform formatting and validation passed for both approved roots;
Checkov 3.3.16: 226 passed, 0 failed, 20 skipped after approved remediation;
OPA 1.20.0: 6/6 foundation policy tests passed;
TFLint 0.60.0 with AWS ruleset 0.48.0: owner-reported PASS;
W5-001 Column N closed the approved evidence documents on
2026-09-04 14:27:21 SGT.
Gate 1 must re-read the canonical W5-03, W5-04 and W5-05 evidence and confirm that they
authorize the current W5-06 input contract. The tracker cells may still show Not Started;
newer final-approved repository evidence governs implementation facts, while the owner alone
updates the tracker.
Downstream tracker dependency
W5-07 consumes W5-06. Therefore:
.github/workflows/security-scan.yml is a future W5-002 downstream consumer;
its absence does not block W5-003;
W5-003 must not create or edit GitHub workflows;
W5-003 completion must not claim that CI execution occurred;
W5-002 will later connect this final-approved pack to CI.
This explicitly resolves the inactive tracker-template circularity without changing the
original dependency order:
W5-03:W5-05 → W5-06/W5-003 → W5-07/W5-002.
3. Reconciled prior implementation and evidence facts
Preserve these facts until Gate 1 confirms or reports drift:
Weeks 1–4
The Week 1–4 local architecture foundations, RAG, guardrails, API, agent, telemetry,
failure/load tests and configuration rollback were implemented, owner-tested, documented
and approved through their respective gates.
The last Week 4 ordinary-suite closure recorded 724 passed, 7 skipped, and
4 deselected.
The W3-002 immutable evaluation baseline remains protected and must not be modified.
W1-08/SEC-003 subsequently established .pre-commit-config.yaml,
.secrets.baseline, runtime-constructed synthetic secret fixtures and owner-controlled
secret scanning.
W5-INPUTS-001
The non-secret W5 sandbox inputs and owner decision record were created and approved.
The approved primary AWS Region is ap-southeast-1.
Bedrock processing uses the separately approved Global Cross-Region policy label; that
label must not broaden the allowed Terraform infrastructure Region.
The authoritative GitHub repository is gprai/enterprize_ai_platform. It is relevant only
as a later CI consumer and must not be used to authorize a W5-003 GitHub or AWS call.
Gate 1 must read the current owner-approved tag, encryption, IAM, network, retention,
deletion and exception values from their canonical repository producers. Do not infer them
from this summary.
W5-001
Local quality validation passed: Pytest 798 passed, 7 skipped, 4 deselected, and
10 subtests; Ruff PASS; MyPy PASS across 107 source files; platform validation PASS.
Terraform formatting, bootstrap validation and sandbox validation passed.
Checkov, OPA and TFLint results are recorded above.
No Terraform plan/apply, infrastructure deployment, cloud rollback or cloud teardown ran.
The Bedrock owner verification utility operated correctly, but the final live evaluation
result remains FAIL because Amazon Nova 2 Lite weakened or omitted mandatory policy
wording in Q15, Q18 and Q22. Owner acceptance of this model limitation does not convert it
to PASS or establish production readiness.
W5-001’s Bedrock FAIL does not block local W5-003 policy implementation or deterministic
testing. It continues to block model promotion, Terraform apply, deployment and production
readiness.
Current pre-commit/staging warning
The last owner report after the clean W5 baseline stated that a commit was blocked because:
two AWS-shaped synthetic failure-test fixtures required runtime-construction remediation;
two SHA-256 checksums were scanner findings but not credentials;
Ruff reported eight mechanically unformatted files;
the failed commit created no commit and the approved files remained staged.
Do not assume this remediation is complete. Gate 1 must capture the actual current branch,
HEAD, staged state, unstaged state and untracked paths. Any overlapping staged owner change is
protected. A current Excel workbook or Office ~$ lock file is owner-controlled,
non-blocking and excluded.
4. Approval gates and authority boundaries
Keep these permissions separate:
Main Prompt / Gate 1: read-only repository, evidence and local-environment inspection.
Column L: exact code, configuration, IaC, schema and automated-test edits only.
TEST-001: owner execution unless an explicit temporary Codex execution override is
separately supplied.
Column M: exact approved documentation paths only.
Column N: bounded documentation closure only.
Tracker update: owner-only action after complete closure.
No approval to test authorizes editing, installation, staging, committing, pushing,
documentation, deployment, remediation, rollback or teardown. No approval to edit authorizes
execution. Never use --no-verify.
5. Gate 1 — authorized read-only activity
Gate 1 may:
inspect repository files, Git metadata and status;
hash governing inputs and protected evidence;
inspect local executable/package metadata without installation or network access;
search exact producers, consumers, duplicated literals, constructors and validators;
inspect pre-commit, Checkov, OPA, TFLint, Terraform, Ruff, MyPy and Pytest configuration;
identify task-specific caches, temporary paths and residue read-only;
prepare a complete impact analysis, proposed manifest, test design and consolidated owner
decisions.
Gate 1 must not:
create, edit, format or delete repository content;
run tests, policies, linters, scanners, pre-commit hooks, Terraform or applications;
install or download anything;
contact GitHub, AWS, registries, models or any external service;
stage, unstage, commit, push or rewrite Git state;
edit Excel or treat its open process/lock file as blocking;
write evidence or documentation.
6. Mandatory Gate 1 baseline preflight
Report all of the following before proposing Column L:
Repository root.
Expected and actual branch.
Exact current HEAD.
Upstream and ahead/behind state when locally available without network access.
Complete git status --short --untracked-files=all classification.
Complete staged and unstaged path inventories.
Expected owner-controlled changes and any unexpected path.
Planned CREATE targets and whether each is absent.
Planned UPDATE targets and whether each exists, is tracked and has viable patch context.
Planned DELETE targets.
Protected files, hashes and evidence inputs.
Approved external virtual environments and exact executable paths.
Approved external PRE_COMMIT_HOME, Checkov/OPA/TFLint caches and task temporary paths.
Repository and external cache/residue observations.
Any overlap between owner-staged work and the proposed W5-003 manifest.
Use the last confirmed clean baseline only as a comparison point:
expected branch: main;
last confirmed clean HEAD: 0bcef1386f5b951f205fa1c6b9c547cb207ae037.
Because a later failed commit reportedly left staged changes, do not require the current tree
to be clean by assumption. Instead, classify every difference. Column L requires either:
a subsequently clean, owner-approved committed baseline; or
an exact owner-approved dirty baseline naming every staged and unstaged path, with explicit
authority to edit each overlapping W5-003 path.
Stop before Column L if the branch, HEAD, path inventory, staged state, protected hash,
external environment or patch context differs from the approved baseline.
7. Required governing sources and precedence
Apply this precedence and report conflicts without silently resolving them:
docs/governance/Enterprise_AI_Architecture_Source_of_Truth_v1.1.docx
Approved ADRs and owner decision records, including ADR-000 source precedence
Approved W5 input contract and final-approved W5-001 evidence
Approved architecture, security, cost, retention and learning records
Tracker v1.3.5
Current implementation, configuration, schemas, tests and tool contracts
At minimum inspect the current versions of:
docs/adr/ADR-000-source-precedence.md
docs/adr/ADR-006-authorization.md
docs/adr/ADR-009-terraform-roots.md
docs/adr/ADR-010-saved-plan.md
docs/adr/ADR-011-manual-mutations.md
docs/adr/ADR-014-kms-deletion.md
docs/adr/ADR-015-opensearch-boundary.md
docs/adr/ADR-017-release-gates.md
docs/cost-estimates/W5-inputs.md
docs/test-evidence/W5-001.md
docs/test-evidence/W5-03-security.txt
docs/test-evidence/W5-04-iam.txt
docs/test-evidence/W5-05-platform-plan.txt
docs/test-evidence/README.md
the W3-002 immutable baseline and protected RAG identities
If an exact path is absent, report it as absent; do not invent a substitute.
8. Required current-state reconciliation
Gate 1 must distinguish four layers:
W5-001 Terraform implementation: the real roots/modules and security controls that
W5-003 must evaluate.
Existing W5-001 policy foundation: current OPA files, six foundation tests and the
Checkov/TFLint execution contracts.
W5-003 final policy pack: the new or updated policies, exception registry, fixtures and
automated contract/security/feature tests needed to close W5-06.
W5-002 CI integration: downstream only; absent workflows must remain deferred.
Known existing foundation paths to inspect include:
.tflint.hcl
requirements-checkov.txt
policies/opa/terraform_plan.rego
policies/opa/terraform_plan_test.rego
the two Terraform roots and all modules created or updated by W5-001
current Terraform/OPA/Checkov/security contract tests
Do not create shadow policies that duplicate or contradict the existing
enterprise_ai.terraform.plan package. Determine whether the tracker-proposed
terraform.rego is a separate final gate, an aggregation layer or a stale filename. Any
change from the tracker-proposed path must be presented as an explicit owner decision with
complete producer-consumer impact.
Reconcile every one of the 20 W5-001 Checkov skips:
exact check ID;
affected path/resource class;
why it was skipped;
whether it is not applicable, an accepted sandbox limitation or a real exception;
approving owner/evidence;
expiry or review condition;
equivalent OPA outcome where the controls overlap.
Do not transfer a skip automatically into the exception registry. Do not baseline a genuine
security failure.
9. Required policy coverage
Gate 1 must map every rule to its authoritative owner value, Terraform producer, OPA rule,
Checkov rule/configuration, fixture and expected outcome.
The intended control families are:
Region
infrastructure resources are restricted to approved Terraform Regions;
Bedrock’s Global Cross-Region processing label does not authorize infrastructure in
additional Regions.
Mandatory tags
require the exact approved tag keys and values or validation rules;
validate ExpiresAt format, permitted lifecycle and expiry behavior;
reconcile the authoritative repository tag with
gprai/enterprize_ai_platform without rewriting historical evidence silently.
S3 and state/storage security
public access blocked;
approved KMS encryption;
versioning and required lifecycle controls;
TLS-only bucket policy;
no secret values in Terraform.
KMS
key rotation where required;
bounded deletion window and explicit owner lifecycle;
no broad public or cross-account access.
IAM and OIDC
no wildcard action or resource without an individually approved bounded exception;
exact trusted services/principals and conditions;
no long-lived AWS credential fields;
no repository or environment trust broader than the approved contract.
Network and security groups
no public ingress;
no unrestricted ingress or egress unless an exact approved rule exists;
private subnet/VPC boundaries and endpoint intent remain consistent with W5 inputs.
OpenSearch
VPC-only access;
encryption at rest and node-to-node encryption;
HTTPS enforcement and approved TLS policy;
approved logging and log retention;
bounded access policy and sandbox sizing.
ECR and image controls
immutable tags;
approved encryption;
scan/lifecycle configuration;
no mutable deployment reference accepted as an approved artifact.
Deletion, retention and cost guards
destructive or high-cost changes require explicit owner review;
required retention/deletion settings remain present;
policy PASS must not imply a cost estimate or deployment approval.
Exception governance
exceptions are rule- and resource-scoped;
owner, approver, rationale, evidence, issue time, expiry and status are explicit;
malformed, expired, duplicate, unknown-rule, wildcard-resource, directory-wide,
file-type-wide and blanket exceptions fail closed.
The final rule list, IDs, severities, messages and overlap matrix require owner approval after
Gate 1. Do not infer exact IDs or field ordering before inspecting the existing packages.
10. Finding and exception contracts
Propose strict, versioned and deterministic contracts.
Each policy finding should expose only approved safe fields such as:
schema version;
policy/rule ID;
severity;
Terraform resource address;
safe category;
safe remediation code or message;
exception status when applicable.
It must not expose:
secret values or hashes of secret values;
complete Terraform plan fragments;
environment variables or credentials;
provider responses;
private document/model content;
stack traces or raw exception text.
The exception schema must be strict, extra-forbidden and deterministic. Gate 1 must propose
the exact ordered keys after inspecting current conventions. Candidate fields include:
schema_version
exception_id
policy_id
resource_addresses
owner
approver
rationale
evidence_reference
issued_at
expires_at
status
These are proposals, not approved fields. Determine whether one exception may cover more than
one explicitly listed resource and whether the collection is ordered and immutable.
Canonical project JSON should follow the repository’s existing strict JSON contract:
UTF-8 without BOM, duplicate-key rejection, finite values, deterministic key ordering and one
final newline. Confirm rather than assume the exact serializer.
11. Mandatory producer-consumer impact analysis
For every proposed path, rule, field, configuration key, command and dependency, report:
definition/producer;
import, loader or evaluator;
Terraform resource/module/root consumed;
OPA package/rule consumed;
Checkov configuration/check consumed;
validators and serializers;
positive and negative fixtures;
unit, contract, integration, feature, security, rollback and teardown tests;
Make/platform validation consumers;
pre-commit and secret-scanner impact;
future W5-002 workflow consumer;
documentation/evidence consumer;
required change or evidence-backed reason unchanged.
Search all exact consumers. In particular inspect hard-coded feature lists, required-path
lists, dependency inventories, repository-cleanliness rules, policy package loaders, test
collection rules and Make targets.
12. Initial tracker-proposed path boundary — not approval
The inactive tracker template proposes the following starting boundary. Gate 1 must verify and
correct it against the current repository. Do not treat it as Column L authority.
Proposed CREATE
.checkov.yml
policies/opa/terraform.rego
policies/opa/terraform_test.rego
policies/opa/exceptions.json
tests/contract/test_policy_exception_contract.py
tests/security/test_policy_pack.py
tests/feature/test_policy_gate.py
Proposed UPDATE
Makefile
feature-matrix.yaml
tools/platformctl/validate.py
tests/feature/test_feature_matrix.py
tests/unit/test_platformctl.py
Proposed DELETE
None
Known consumers requiring inspection before classification
.pre-commit-config.yaml
.secrets.baseline
.tflint.hcl
pyproject.toml
requirements.txt
requirements-dev.txt
requirements-checkov.txt
tests/integration/test_dependency_contract.py
tests/security/test_configuration_security.py
tests/security/test_repository_security.py
tests/security/test_precommit_controls.py
tests/teardown/test_repository_cleanliness.py
tests/teardown/test_terraform_state_boundary.py
policies/opa/terraform_plan.rego
policies/opa/terraform_plan_test.rego
infra/bootstrap/versions.tf
infra/environments/sandbox/versions.tf
infra/environments/sandbox/main.tf
infra/environments/sandbox/variables.tf
infra/environments/sandbox/terraform.tfvars.example
every exact W5-001 Terraform module file evaluated by the policy pack
every exact W5-001 policy/security test that asserts existing rules or skips
Deferred
.github/workflows/ci.yml
.github/workflows/security-scan.yml
.github/workflows/plan-sandbox.yml
W5-002 workflow/helper/image/scanner/SBOM paths
docs/test-evidence/W5-003.md
docs/test-evidence/W5-06-policy.txt
docs/test-evidence/W5-policy.txt
docs/test-evidence/README.md
W5-004 saved-plan implementation and evidence
Excluded
W5-001 retained verification reports and their contents;
tracker, governance, ADR and existing evidence edits during Column L;
GitHub execution and OIDC/STSes;
Terraform plan/apply/destroy;
AWS, Bedrock, OpenSearch, ECR or any cloud call;
Docker, image build, scanners and SBOM execution;
deployment, release rollback and cloud teardown;
Git staging, commit and push;
any path not explicitly approved later in Column L.
Gate 1 must return one exact manifest with every repository path under exactly one of CREATE,
UPDATE, DELETE, VERIFIED UNCHANGED, DEFERRED or EXCLUDED. No wildcard, directory-only or
placeholder path is permitted in Column L.
13. Automated-test design required at Gate 1
Design deterministic coverage for:
Policy correctness
one compliant Terraform-plan-shaped fixture covering every applicable rule;
one isolated violating fixture per rule;
multiple simultaneous violations with stable deterministic ordering;
unknown resource types handled according to an approved fail-safe rule;
removed, renamed or disabled rules detected;
OPA package evaluation confirmed rather than inferred from an empty result;
OPA and Checkov overlap outcomes reconciled.
Exceptions
valid exact rule/resource exception;
missing field;
unknown/extra field;
duplicate key;
duplicate exception ID;
reordered contractual collection where order is significant;
malformed timestamp/timezone;
expired, future-not-yet-active or revoked exception;
unknown policy ID;
wildcard, directory, file-type or blanket scope;
wrong approver/owner;
missing rationale/evidence;
exception for one resource does not suppress another resource;
expired exception produces the original denial.
Security and redaction
public S3/OpenSearch and open security-group examples fail;
missing KMS/encryption/TLS/tagging/lifecycle controls fail;
IAM action/resource wildcard rules fail unless exactly approved;
no committed complete secret-shaped fixture;
synthetic secret values are assembled only at runtime from safe fragments;
findings and test output contain no sensitive input value;
malformed plan JSON and non-finite/duplicate values fail closed;
no network, AWS credential or provider access occurs.
Integration and feature acceptance
current W5-001 Terraform is evaluated against the final pack;
approved secure infrastructure passes;
intentionally insecure temporary copies fail;
Checkov’s approved skips are exactly reconciled and no new skip appears;
policy result includes rule/resource/remediation;
W5-001 Bedrock FAIL remains unchanged and is not evaluated as an IaC-policy failure;
no W5-002 workflow is required for local acceptance.
Rollback and cleanliness
disabling/reverting the candidate pack restores the last approved policy behavior without
touching Terraform/cloud state;
temporary fixtures exist only under the approved external task directory;
no repository .pytest_cache, .mypy_cache, .ruff_cache, __pycache__, Terraform
runtime directory, plan file, OPA bundle, Checkov report or secret candidate remains;
shared external caches and retained W5-001 evidence are not broadly deleted.
Do not weaken existing assertions to obtain PASS. An encountered failure stops TEST-001 and
requires read-only root-cause analysis plus separate remediation approval.
14. Toolchain, environment and offline boundary
Gate 1 must inspect actual packaging and tool configuration before proposing installation.
Known owner-reported tool identities:
OPA: 1.20.0
Checkov: 3.3.16
TFLint: 0.60.0
TFLint AWS ruleset: 0.48.0
owner Python used for W5-001: inspect and confirm; do not infer from an older record
No dependency installation is authorized by this Main Prompt. Confirm whether the current
approved external environments already provide:
python
pre-commit
detect-secrets-hook
Ruff
MyPy
Pytest
Checkov
OPA
TFLint and its plugin
OPA and Checkov evaluation must remain local and offline. Do not contact Bridgecrew/Prisma,
GitHub, AWS or a package registry. Gate 1 must inspect the installed Checkov 3.3.16 command
surface and determine the exact offline/no-download/API-key-free flags supported by that
version rather than inventing flags.
15. Mandatory owner TEST-001 guide format — planning only
Gate 1 must return all proposed commands together, grouped by topic. Every topic must include:
purpose;
exact PowerShell command;
expected result;
cost, access and privacy impact;
stop condition;
expected residue and cleanup owner.
The final TEST-001 guide must begin with exact owner-approved paths in this form:
$taskPython = '&lt;approved-external-venv&gt;\Scripts\python.exe'
$taskScripts = '&lt;approved-external-venv&gt;\Scripts'
$env:PRE_COMMIT_HOME = '&lt;approved-external-cache&gt;'
$env:Path = "$taskScripts;$env:Path"
$env:TEMP = '&lt;approved-external-task-temp&gt;'
$env:TMP = $env:TEMP
$taskPytestBaseTemp = '&lt;approved-external-task-temp&gt;\pytest-basetemp'
&amp; $taskPython --version
(Get-Command python -ErrorAction Stop).Source
(Get-Command detect-secrets-hook -ErrorAction Stop).Source
&amp; $taskPython -B -m pre_commit --version
&amp; $taskPython -m pip show detect-secrets
No placeholder may remain in the later Column L or executable TEST-001 approval.
The planned order must be:
Confirm branch, HEAD, staged/unstaged state and approved path boundary.
Initialize the approved environment, PATH, PRE_COMMIT_HOME, TEMP and TMP.
Verify Python, pre-commit and detect-secrets executables.
Verify OPA, Checkov and TFLint versions and approved paths without download.
Validate OPA/Rego syntax and configuration.
Validate Checkov configuration offline.
Complete mechanical Ruff formatting before integrity hashing.
Resolve the repository line-ending policy.
Run scoped Ruff lint and Ruff format checks.
Run strict MyPy using repository scope and no repository cache.
Run focused exception/policy/security tests with unique external --basetemp.
Run OPA tests for the complete approved package.
Run Checkov against approved secure and insecure temporary fixtures.
Run Checkov against the current infra tree and reconcile exact pass/fail/skip counts.
Run current W5-001 Terraform/security consumer regressions.
Run the complete ordinary Pytest suite with existing AWS/paid exclusions preserved.
Run platform validation.
Run rollback and teardown/zero-residue checks.
Run integrity validation after final formatting.
Generate any required final detect-secrets candidate outside the repository only after
integrity hashes are final.
Obtain owner review before any .secrets.baseline update.
Stage only the exact approved paths with git add -- $approvedPaths after separate Git
authorization.
Validate staged whitespace and staged manifest.
Run pre-commit all-files and staged-file checks in the approved order.
Provide the owner commit command only after all checks pass.
Capture actual post-commit SHA and final status; never invent a future commit SHA.
When Pytest is authorized, set both TEMP and TMP and pass:
--basetemp $taskPytestBaseTemp
If a permission error occurs only because the execution sandbox cannot access the approved
external temporary directory, classify it as an execution-environment failure—not a product
test failure. Do not change source code to work around it.
During any secret-baseline transition, do not use --show-diff-on-failure until the approved
baseline is staged. If .secrets.baseline changes, stage it before the final detect-secrets
hook or the hook will correctly fail because the baseline is unstaged.
16. Formatting, integrity and secret-scanning order
If W5-003 affects formatting, integrity manifests or the secret baseline, preserve this exact
order:
Complete functional edits.
Complete bounded mechanical Ruff formatting.
Resolve line endings.
Pass Ruff lint and format checks.
Refactor any synthetic secret-shaped fixture into runtime fragments.
Pass focused behavior/security tests.
Calculate and update integrity hashes.
Use only an owner-supplied existing commit SHA for any repository_commit_sha field.
Generate the final detect-secrets candidate outside the repository.
Return only scanner version, plugin/filter counts and redacted path/type/count inventory.
Obtain owner approval.
Update .secrets.baseline and its exact contract/cleanliness tests together only under a
separately exact approved manifest.
Stage exact approved paths.
Run all-files and staged-file pre-commit validation.
Commit only when explicitly authorized.
Never enable repository-wide Ruff formatting while unapproved legacy formatting differences
remain. Inventory and separate any mechanical reformatting from behavioral W5-003 changes.
17. Failure, rollback and teardown rules
Failure classification
PASS: the exact approved local check completed and met every acceptance criterion.
FAIL: an executed mandatory check produced a policy, security, quality or integrity
failure.
NOT RUN: the activity was intentionally not authorized or never started.
INDETERMINATE: required external evidence was unavailable or could not be authenticated.
Skips, deselections and warnings remain separately recorded; they are never converted to
PASS.
Fail-safe behavior
malformed policy input fails closed;
evaluator error cannot become allow;
missing/unknown policy cannot become allow;
an exception processing error cannot suppress a finding;
partial OPA/Checkov execution cannot establish eligibility;
no automatic remediation follows a failure;
no test result authorizes Terraform, AWS, GitHub or deployment activity.
Rollback
Rollback means removing/reverting only the approved W5-003 candidate changes and restoring
the exact prior approved policy pack under a separate approval. It does not mean applying
Terraform, changing AWS resources or rewriting historical evidence.
Teardown and residue
Remove only task-owned temporary fixtures, reports, test caches and approved task-specific
external cache content. Do not delete:
shared pre-commit, OPA, Checkov, TFLint or package caches;
retained W5-001 verification evidence;
Terraform state or provider lockfiles;
owner documents or tracker files.
Record retained resources, cleanup owner and planned removal/review date.
18. Security, privacy, reliability and cost boundaries
No plaintext secret, credential, AWS token, provider payload, PII or tenant/business content
is required.
Synthetic secret-shaped values are constructed only at runtime from safe fragments and
never printed.
Terraform-plan fixtures contain only synthetic non-sensitive values.
Findings expose rule/resource/remediation, not resource values.
No AWS identity or network access is needed.
No cloud resource, model request, image, socket, service or deployment is created.
Local CPU, memory, disk, owner time and retained external caches are real and must not be
described as costless.
Cloud/provider cost for the approved offline implementation and tests is expected to be
USD 0; this excludes local infrastructure and owner effort.
Policy PASS is not a Terraform plan, cost estimate, deployment approval or production
security certification.
W5-001’s Bedrock FAIL remains a separate release blocker.
19. Consolidated owner decisions required from Gate 1
Return one table containing every unresolved decision. At minimum reconcile:
ID
Decision required
Recommended direction
Gate impact
D1
Exact current branch, HEAD, staged/unstaged state and protected owner changes
Bind Gate 2 to the actual revalidated baseline; resolve or explicitly approve every overlap
Blocks Column L
D2
W5-03 through W5-05 prerequisite evidence
Accept the final-approved W5-001 evidence if hashes and contents remain exact
Blocks Column L if inconsistent
D3
Existing terraform_plan.rego versus tracker-proposed terraform.rego ownership
Extend or aggregate without duplicate/contradictory rules; preserve tracker intent and record any path correction
Blocks manifest
D4
Exact approved Terraform Region set
Extract from final W5 inputs; normally infrastructure remains in ap-southeast-1 only
Blocks rules
D5
Exact mandatory tag keys, values/validators and expiry policy
Reuse current approved inputs; do not re-ask already recorded values
Blocks rules
D6
Exact encryption, TLS, public-access, KMS, versioning and lifecycle rules
Bind each rule to the implemented W5-001 Terraform contract
Blocks rules
D7
Exact IAM, trust, wildcard action/resource and network exceptions
Deny by default; enumerate only previously approved bounded exceptions
Blocks rules
D8
Disposition of all 20 existing Checkov skips
Classify individually; migrate only genuine approved exceptions
Blocks evidence and configuration
D9
Exception schema, authorized approver, default duration and expiry behavior
Strict versioned JSON; rule/resource scope; owner approval; fail closed
Blocks schema/tests
D10
OPA/Checkov overlap and precedence
Both must pass; contradiction or partial execution is FAIL
Blocks acceptance
D11
Rule IDs, severity, deterministic order and safe finding </t>
  </si>
  <si>
    <t>READY FOR PRE-EDIT REVIEW — W5-003</t>
  </si>
  <si>
    <t>COLUMN L — COMPLETE BOUNDED CODE EDIT APPROVAL — W5-003
1. Approval identity
Prompt ID: W5-003
Tracker step: W5-06
Feature: OPA and Checkov policy pack
Governing tracker: Enterprise_AI_Architecture_6_Week_Execution_Tracker_v1.3.5.xlsx
Approval type: exact code/configuration/IaC/schema/automated-test edit approval
Approved owner decisions: D1–D24, exactly as recorded in the successful Gate 1 review
Approved implementation manifest: 7 CREATE, 11 UPDATE, 0 DELETE
This Column L approval authorizes only the exact repository edits stated below. It does not
authorize command execution, testing, scanning, formatting commands, installation, downloads,
temporary-directory creation, cleanup, documentation, evidence writing, Excel modification,
Git staging, committing, pushing, Terraform execution, GitHub execution, AWS access,
deployment, rollback execution or teardown execution.
Do not rely on another conversation. Re-read this complete contract and the current repository
before editing.
2. Approved business and technical outcome
Implement the final offline W5-06 policy-as-code producer that:
evaluates synthetic Terraform-plan-shaped input through OPA;
scans the current Terraform implementation through an offline Checkov configuration;
denies violations of the approved Region, tagging, encryption, public-access, IAM, network,
OpenSearch, ECR, deletion, retention and secret-separation controls;
accepts only strict, explicit, resource/rule-scoped, time-bound owner-approved exceptions;
returns deterministic safe findings containing no protected values;
proves through automated tests that secure fixtures pass and insecure fixtures fail;
detects missing, disabled, bypassed, partially evaluated or contradictory policies;
remains a standalone local producer for later W5-002/W5-07 CI integration.
W5-003 must not create or modify any GitHub workflow. W5-002 remains the downstream owner of
CI integration.
W5-001’s formal Bedrock result remains FAIL. This implementation must not modify,
reinterpret or relabel it. The Bedrock failure does not block this offline policy edit, but it
continues to block model promotion, Terraform apply, deployment and production-readiness
claims.
3. Approved baseline
Expected pre-edit state:
Item
Exact approved value
Repository root
E:\AI\enterprise_ai_platform
Branch
main
HEAD
0bcef1386f5b951f205fa1c6b9c547cb207ae037
Upstream
origin/main
Ahead/behind
0/0, determined locally
Staged paths
None
Unstaged tracked paths
None
Permitted untracked path
docs/governance/~$Enterprise_AI_Architecture_6_Week_Execution_Tracker_v1.3.5.xlsx only, if present
Unexpected repository paths
None
Line endings
.gitattributes governs LF except Windows batch files
core.autocrlf
true; approved targets currently contain LF
The Excel workbook may be open and the ~$ lock may appear or disappear. Both are
owner-controlled, excluded and non-blocking. Do not read, edit, stage or delete them.
Approved governing hashes:
Governing input
SHA-256
W5-003 Main Prompt
220f8d90f1c59780f63a07eefe5671015d4707d8e9cef58fb96e47a95d910ead
Source of Truth v1.1
d4ce5c6d2cbba3704e8f7f385edeb16573cf21e009b1bf7e87914bace03fb04f
Tracker v1.3.5
080f3e2f07cc11400adfc07e62be49dc57b9727f6669a06f344fa8b71662bd7b
ADR-000
5926e39cf95bea75eef2776e439efd613a3966899fbc5a4deba78ec21295b15f
W5 inputs
75bdfd649241297cc88d9d6a278b3231053a5c6c5b3250c571e6e02114fd2dfd
W5-001 evidence
70d0ed6600303cffc035380bc0ac063d6158ed094fbd3eb82ed78f04a8b10848
W5-03 evidence
0288a6de29be90f3b7b3bafaf8135fc2d9169b2ff4dc8c3525677ebe64a2a7c2
W5-04 evidence
714560502f7138c589eb7c3c8818aca155f7863017876f1f281b57e8f06f1ae2
W5-05 evidence
59f1a36c6b3e4afafc25deb3654bc205af67a5819d6228901ef02029f1f695f7
ADR-000’s older v1.3.4 wording and the absent
docs/adr/ADR-015-opensearch-boundary.md are approved deferred governance gaps. They do not
authorize documentation edits under Column L.
Protected W3-002 inputs and identities, including the following, must remain byte-for-byte
unchanged:
configs/eval/golden.jsonl
configs/eval/w3-002.yaml
configs/eval/baselines/w3-002-v1.json
configs/rag.yaml
configs/rag/versions/w3-002-v1.json
configs/rag/versions/w3-004-synthetic-regression-v1.json
src/enterprise_ai_platform/evaluation/fixtures.py
src/enterprise_ai_platform/rag_rollback/identity.py
4. Mandatory Gate 2 revalidation before editing
Before the first edit, perform read-only revalidation only:
Confirm the repository root, branch, exact HEAD and local upstream/ahead-behind state.
Capture the complete short status, staged paths, unstaged paths and untracked paths.
Confirm all seven CREATE targets are absent.
Confirm all eleven UPDATE targets exist, are tracked and retain the approved patch contexts.
Re-read every VERIFIED UNCHANGED consumer listed below.
Recalculate and compare every full governing hash above.
Confirm the protected W3 inputs and retained W5-001 evidence are unchanged.
Confirm no repository cache, plan, state, policy report, OPA bundle or unexpected residue
appeared.
Confirm no owner change overlaps the approved eighteen paths.
Confirm the only permissible status difference is the owner-controlled Excel lock
appearing or disappearing.
If branch, HEAD, staged/unstaged state, any path, patch context, protected hash or residue
differs, edit nothing and return exactly:
BLOCKED — BASELINE CHANGED — W5-003.
If a CREATE path exists or an UPDATE path is missing, edit nothing and return the same blocker.
Do not guess an anchor, append a shadow policy/test, reconstruct a file from memory or absorb an
unexpected path into the manifest.
5. Exact approved edit manifest
CREATE — exactly 7
.checkov.yml
policies/opa/exceptions.json
tests/contract/test_policy_exception_contract.py
tests/feature/test_policy_gate.py
tests/rollback/test_policy_pack_rollback.py
tests/security/test_policy_pack.py
tests/teardown/test_policy_pack_cleanliness.py
UPDATE — exactly 11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DELETE — exactly 0
None.
No path may move between CREATE, UPDATE or DELETE without a new owner approval.
6. Exact approved UPDATE contexts
Edit only these sections or symbols:
Path
Approved context and change
Makefile
Tool variables, .PHONY, help text, existing OPA/Checkov targets and exact W5 policy targets only
feature-matrix.yaml
Extend existing AWS-001 implementation paths and linked steps through W5-06; do not create a new feature or reorder unrelated features
tools/platformctl/validate.py
Extend EXPECTED_AWS_IMPLEMENTATION_PATHS, EXPECTED_AWS_FEATURE and REQUIRED_FILES only as required by the approved manifest
tests/feature/test_feature_matrix.py
Reconcile the exact AWS-001 path/count/step contract without weakening unrelated assertions
tests/unit/test_platformctl.py
Extend exact W5 AWS ownership and required-path assertions
policies/opa/terraform_plan.rego
Preserve package enterprise_ai.terraform.plan; replace the incomplete string-only foundation with the approved ordered structured policy/finding/exception behavior
policies/opa/terraform_plan_test.rego
Preserve the six foundation scenarios and add the complete rule, exception, deterministic-order, redaction and fail-closed test matrix
tests/integration/test_dependency_contract.py
Add exact Checkov/OPA offline configuration and environment contracts only; retain all existing dependency assertions
infra/environments/sandbox/terraform.tfvars.example
Change only github_repository from enterprise-ai-platform to enterprize_ai_platform
infra/environments/sandbox/variables.tf
Change only the exact allowed github_repository value and its validation message to enterprize_ai_platform
tests/contract/test_terraform_module_contract.py
Add exact assertions for repository identity and resulting OIDC subject repo:gprai/enterprize_ai_platform:environment:sandbox
Preserve the logical mandatory tag value Repository = enterprise-ai-platform. It identifies
the project/tag contract and is intentionally different from the GitHub repository slug
enterprize_ai_platform.
7. Verified unchanged consumers — read-only
These paths authorize inspection only and must not be edited:
.gitattributes
.gitignore
.pre-commit-config.yaml
.secrets.baseline
.tflint.hcl
pyproject.toml
requirements.txt
requirements-dev.txt
requirements-checkov.txt
infra/bootstrap/main.tf
infra/bootstrap/outputs.tf
infra/bootstrap/variables.tf
infra/bootstrap/versions.tf
infra/environments/sandbox/backend.hcl.example
infra/environments/sandbox/main.tf
infra/environments/sandbox/outputs.tf
infra/environments/sandbox/versions.tf
infra/modules/ecr/main.tf
infra/modules/ecr/outputs.tf
infra/modules/ecr/variables.tf
infra/modules/iam/main.tf
infra/modules/iam/outputs.tf
infra/modules/iam/variables.tf
infra/modules/kms/main.tf
infra/modules/kms/outputs.tf
infra/modules/kms/variables.tf
infra/modules/network/main.tf
infra/modules/network/outputs.tf
infra/modules/network/variables.tf
infra/modules/opensearch/main.tf
infra/modules/opensearch/outputs.tf
infra/modules/opensearch/variables.tf
infra/modules/secrets/main.tf
infra/modules/secrets/outputs.tf
infra/modules/secrets/variables.tf
infra/modules/storage/main.tf
infra/modules/storage/outputs.tf
infra/modules/storage/variables.tf
tools/platformctl/contracts.py
tests/feature/test_terraform_sandbox_plan.py
tests/security/test_configuration_security.py
tests/security/test_evidence_redaction.py
tests/security/test_precommit_controls.py
tests/security/test_repository_security.py
tests/security/test_terraform_security.py
tests/teardown/test_repository_cleanliness.py
tests/teardown/test_terraform_state_boundary.py
tests/teardown/test_w1_08_cleanliness.py
configs/eval/golden.jsonl
configs/eval/w3-002.yaml
configs/eval/baselines/w3-002-v1.json
configs/rag.yaml
configs/rag/versions/w3-002-v1.json
configs/rag/versions/w3-004-synthetic-regression-v1.json
src/enterprise_ai_platform/evaluation/fixtures.py
src/enterprise_ai_platform/rag_rollback/identity.py
tests/feature/test_w3_002_offline_evaluation.py
tests/security/test_w3_002_evaluation_security.py
tests/rollback/test_w3_002_evaluation_rollback.py
tests/teardown/test_w3_002_evaluation_cleanliness.py
If implementation cannot preserve any listed consumer, stop without changing that consumer and
return a complete impact finding requiring a new manifest approval.
8. Deferred paths and activities
The following exact paths remain deferred and must not be created or edited:
.github/workflows/ci.yml
.github/workflows/security-scan.yml
.github/workflows/plan-sandbox.yml
docs/test-evidence/W5-003.md
docs/test-evidence/W5-06-policy.txt
docs/test-evidence/W5-policy.txt
docs/test-evidence/README.md
Also deferred:
remaining W5-002 workflow, helper, image, scanner, lockfile and SBOM paths;
W5-004 saved-plan implementation and evidence;
GitHub-hosted policy execution;
any custom Checkov Python check not proven necessary;
ADR-015 creation or governance reconciliation;
Column M and Column N documentation.
9. Excluded paths and activities
The following are explicitly excluded:
policies/opa/terraform.rego — stale duplicate tracker proposal; do not create;
policies/opa/terraform_test.rego — stale duplicate tracker proposal; do not create;
Source of Truth, tracker, ADRs, W5 input document/Narrative records and existing evidence;
docs/governance/~$Enterprise_AI_Architecture_6_Week_Execution_Tracker_v1.3.5.xlsx;
reports/verification/ and every retained W5-001 run file;
W5-001 Bedrock configuration, verifier, reports, questions, answers and tests;
Terraform plan/apply/destroy and any state mutation;
AWS, GitHub, Docker, model, vector-store, registry or external network activity;
scanner execution, deployment, remediation, rollback execution and teardown execution;
dependency installation or tool download;
Git staging, unstaging, commit, push or branch mutation;
Excel edits;
every repository path not listed under CREATE or UPDATE.
10. Approved external environment and protected residue
These values are approved for the later owner TEST-001 guide. Column L may mention them but must
not execute them or create their directories: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Approved tool identities:
Python 3.13.7
Pytest 9.1.1
Ruff 0.16.4
MyPy 1.20.2
pre-commit 4.6.2
detect-secrets 1.5.0
Checkov 3.3.16
OPA 1.20.0
TFLint 0.60.0
TFLint AWS ruleset 0.48.0
D23 protects these inaccessible pre-existing W5-001 Pytest directories:
E:\AI\.pre-commit-cache\enterprise-ai-platform-w5-001\pytest-basetemp-focused-20260904
E:\AI\.pre-commit-cache\enterprise-ai-platform-w5-001\pytest-basetemp-full-20260904
E:\AI\.pre-commit-cache\enterprise-ai-platform-w5-001\pytest-basetemp-retry-20260904
Their contents and cleanliness remain INDETERMINATE. Do not read, modify, rename or delete
them. Do not treat them as W5-003 test residue.
Also preserve:
W5-001 pre-commit cache;
W5-001 TFLint plugin cache;
all 16 W5-001 report directories, 68 files and 403,738 bytes;
all shared tool installations and caches.
11. Exact OPA rule contract
Preserve the existing package:
package enterprise_ai.terraform.plan
Implement exactly these rules in exactly this policy order:
Order
Policy ID
Severity
Approved control
1
W5-PLAN-001
CRITICAL
Malformed, missing-context, unevaluated or unsupported AWS input fails closed
2
W5-REG-001
CRITICAL
Infrastructure Region must be ap-southeast-1
3
W5-TAG-001
HIGH
Exact eight mandatory tag keys and seven fixed values
4
W5-TAG-002
HIGH
ExpiresAt is RFC 3339 UTC, future and no more than 24 hours after explicit evaluation time
5
W5-PLAN-002
HIGH
Delete or replace requires explicit owner exception/review
6
W5-S3-001
CRITICAL
All four S3 public-access-block flags are enabled
7
W5-S3-002
CRITICAL
Approved S3 KMS encryption and key reference are present
8
W5-S3-003
HIGH
S3 versioning and exact lifecycle controls are present
9
W5-S3-004
CRITICAL
S3 TLS-only policy is present
10
W5-KMS-001
CRITICAL
KMS rotation enabled and deletion window exactly seven days
11
W5-IAM-001
CRITICAL
No action wildcard or prohibited IAM/ECR broad action
12
W5-IAM-002
CRITICAL
Resource, principal and trust boundaries use only approved wildcard forms
13
W5-NET-001
CRITICAL
Private topology, no IGW/NAT/public subnet and approved VPC/endpoints
14
W5-NET-002
CRITICAL
No public or unrestricted ingress or egress
15
W5-OS-001
CRITICAL
OpenSearch uses VPC, CMK, node encryption, HTTPS and approved TLS
16
W5-OS-002
HIGH
Exact OpenSearch logs, KMS log encryption, access principals and 30-day retention
17
W5-ECR-001
CRITICAL
ECR uses immutable tags, KMS encryption and scan-on-push
18
W5-ECR-002
HIGH
ECR retains exactly ten images
19
W5-SEC-001
CRITICAL
Secret-bearing and long-lived credential fields are prohibited
20
W5-EXC-001
CRITICAL
Invalid exception registry fails closed
Rules must evaluate actual Terraform resource addresses and explicit synthetic evaluation
context. The evaluation timestamp must be input data, never implicit wall-clock state.
Unknown AWS resource/change forms, malformed input, missing context, empty evaluation and
internal evaluator failure must not silently return allow.
Findings must be stable regardless of Terraform object/map iteration order. Sort findings by
policy_id, then resource_address, then remediation_code.
12. Exact mandatory tag contract
Require these eight keys:
Project
Environment
Owner
ManagedBy
CostCenter
Feature
Repository
ExpiresAt
Require these seven fixed values:
Project = enterprise-ai-platform
Environment = sandbox
Owner = Gyan-Prakash-Rai
ManagedBy = terraform
CostCenter = Personal-Learning
Feature = MVP-001
Repository = enterprise-ai-platform
ExpiresAt is supplied as an explicit RFC 3339 UTC Z timestamp. At evaluation it must be in
the future and no more than 24 hours after the explicit evaluation timestamp.
Do not change the logical tag value to the GitHub slug. The GitHub repository correction is
limited to the three approved UPDATE paths.
13. Exact exception registry contract
Create policies/opa/exceptions.json with:
UTF-8 without BOM;
LF line endings;
exactly one final newline;
duplicate-key rejection by repository consumers/tests;
exact top-level key order: schema_version, exceptions;
schema_version = "w5-003.policy-exceptions.v1";
initial exceptions = [].
Every future exception object must use this exact key order:
exception_id
policy_id
resource_addresses
owner
approver
rationale
evidence_reference
issued_at
expires_at
status
Validation requirements:
exact keys only; missing, extra and duplicate keys fail;
exception_id values are unique and bounded;
policy_id must exist in the approved rule inventory;
resource_addresses contains 1–10 unique explicit Terraform addresses;
no *, glob, prefix, directory, extension, file-type or blanket scope;
owner = "Gyan Prakash Rai";
approver = "Gyan Prakash Rai";
non-empty bounded rationale and evidence reference;
issued_at and expires_at are RFC 3339 UTC with Z;
validity is no more than seven days;
future-not-yet-active, expired, malformed and revoked exceptions cannot suppress a finding;
status is exactly ACTIVE or REVOKED;
one resource exception never suppresses another resource;
invalid exception input produces W5-EXC-001 and cannot suppress another finding;
W5-PLAN-001, W5-SEC-001 and W5-EXC-001 are never exemptible.
The initial registry must remain empty; do not migrate any Checkov skip into it.
14. Exact safe-finding contract
Use schema version:
w5-003.policy-finding.v1
Each finding must contain exactly these ordered fields:
schema_version
policy_id
severity
resource_address
category
remediation_code
exception_status
All values must be finite, bounded and drawn from explicit allowlists. severity is exactly
CRITICAL or HIGH according to the rule table. Category and remediation identifiers must be
stable safe tokens bound one-to-one to the approved policy ID and must be asserted by exact
contract tests.
Do not emit:
raw Terraform attribute values or plan fragments;
exception rationale or evidence contents;
environment variables;
credentials, secrets or hashes of secret values;
provider responses;
filesystem paths outside approved repository-relative resource addresses;
Python/Rego/Checkov exception messages or stack traces.
An active matching exception suppresses only its exact exemptible rule/resource finding.
Invalid, expired, future or revoked exceptions do not suppress; their safe status is reflected
without exposing exception content.
15. Exact Checkov configuration contract
Create .checkov.yml using only the Checkov 3.3.16 option names confirmed during Gate 1.
It must enforce:
Terraform framework only;
skip-download: true;
skip-results-upload: true;
download-external-modules: false;
compact, quiet, CLI-only output;
hard failure for failed required checks;
no API key, Prisma URL, upload or policy download;
no global skip-check list;
no custom Checkov Python policy in this cycle.
Preserve the 17 resource-local inline suppressions that produce exactly 20 approved skips.
Tests must assert the exact count, check IDs, resource locations and rationales. Any new,
removed, broadened or relocated suppression is a failure.
Approved disposition:
Count
Check IDs/resource
Exact disposition
3
CKV_AWS_109/111/356 on bootstrap state-key policy
Structural attached-key Resource="*" exception with exact principals/actions
3
CKV_AWS_109/111/356 on platform-key policy
Same structural bounded exception
3
CKV2_AWS_62, CKV_AWS_144, CKV_AWS_18 on state bucket
Approved sandbox limitation: no notifications, replication or access-log destination
3
Same three checks on platform bucket
Same approved sandbox limitation
1
CKV2_AWS_11 on VPC
Approved sandbox limitation: no flow-log destination/cost
1
CKV2_AWS_57 on metadata-only Secrets Manager module
Not applicable while secret_names=[] and no secret values/versions exist
4
CKV_AWS_338 on four OpenSearch log groups
Approved sandbox limitation: 30-day retention, not one year
2
CKV_AWS_318, CKV2_AWS_59 on OpenSearch
Approved single-node/non-HA sandbox limitation
None of these suppressions may be copied into exceptions.json.
16. Exact Make, feature and validation behavior
Makefile
Preserve existing targets and add only bounded local/offline W5 policy targets necessary to:
validate the Checkov configuration;
check OPA/Rego syntax;
run the complete OPA package tests;
run focused policy contract/security/feature tests;
run Checkov against the current infra tree through the approved configuration;
verify policy rollback/cleanliness.
Targets must not install tools, download modules/policies, create a real plan, call AWS, start
Docker, invoke GitHub or mutate Terraform state.
Feature matrix
Extend the existing AWS-001 feature only:
link W5-06 after the existing W5-02 through W5-05 steps;
add the exact approved W5-003 implementation/test paths required by the repository’s current
feature contract;
retain status consistent with incomplete owner testing/documentation;
do not mark W5-06 complete;
do not add GHA-001/W5-07/W5-08 ownership.
Synchronize every hard-coded feature/path/count consumer within the approved UPDATE manifest.
Do not weaken ordered-feature assertions or alter unrelated feature ownership.
Platform validation
Extend only the existing AWS/W5 required-file and feature contracts. Validation must fail on:
a missing approved policy/config/test path;
a duplicate/stale policy path;
wrong OPA package;
wrong W5-06 ownership;
altered exception schema identity;
missing .checkov.yml;
unexpected custom Checkov-policy path.
17. Exact automated-test requirements
tests/contract/test_policy_exception_contract.py
Cover:
top-level and exception-object schema/version/key order;
canonical UTF-8/LF/final-newline encoding;
missing, extra, duplicate and reordered contractual keys where order is required;
duplicate IDs and resource addresses;
owner/approver, rationale and evidence requirements;
valid, malformed, future, expired, revoked and over-seven-day timestamps;
unknown policy ID;
0, 1, 10 and over-10 addresses;
wildcard, glob, directory, file-extension, prefix and blanket scopes;
non-exemptible policies;
deterministic serialization.
policies/opa/terraform_plan_test.rego
Retain the six existing foundation cases and add:
one complete compliant plan-shaped input;
one isolated violation for every approved rule;
multiple violations with deterministic sorting;
missing context, malformed shape, unsupported AWS input and unevaluated-policy failures;
exact active exception behavior;
expired, future, revoked, malformed, duplicate, wrong-policy and wrong-resource exception
behavior;
proof that an invalid exception never suppresses a denial;
no raw-value output;
stable results independent of object order.
tests/security/test_policy_pack.py
Cover:
exact twenty-rule inventory, order and severity;
exact safe-finding field allowlist and bounded values;
no http.send, network helper, raw input, secret, credential or stack-trace output;
exact .checkov.yml offline configuration;
exact 17 inline directives and 20-skip disposition;
absence of global Checkov skips and custom Checkov Python checks;
runtime-only assembly of any secret-shaped synthetic material;
absence of complete secret-shaped fixtures from committed source.
tests/feature/test_policy_gate.py
Cover:
OPA executable is genuinely invoked only when the owner later runs TEST-001;
empty/no-policy evaluation cannot pass;
secure synthetic input passes;
each insecure input fails for its intended rule;
temporary secure/insecure Checkov HCL is written only beneath Pytest tmp_path;
OPA/Checkov disagreement is FAIL;
current W5-001 Terraform Checkov result is expected to remain
226 passed / 0 failed / 20 skipped during owner testing;
no AWS, Terraform plan, provider, GitHub or network activity.
Tests must safely skip or fail with an explicit reason if an owner-controlled external binary
is absent; they must not download it or convert absence into PASS.
tests/rollback/test_policy_pack_rollback.py
Cover:
exact candidate path allowlist;
rollback scope excludes Terraform state, plan, cloud commands, evidence and unrelated files;
the original six foundation scenarios remain represented;
rollback means restoring prior repository policy bytes only;
no Terraform or AWS rollback claim.
tests/teardown/test_policy_pack_cleanliness.py
Cover:
no repository policy report, OPA bundle, Checkov output, cache, bytecode, state or plan;
W5-003 temporary paths are outside the repository;
W5-001 reports and shared external caches are protected;
the three D23 directories remain pre-existing protected residue and do not fail W5-003
cleanliness;
no broad deletion command or directory target is authorized.
Updated existing tests
Update only the exact assertions required by the approved changes. Do not reduce security,
strictness, feature ordering, path ownership, schema or dependency coverage to make tests pass.
18. Implementation rules
Use apply_patch for every repository edit.
Preserve all unrelated owner changes.
Do not run a formatter or use a bulk mechanical rewrite under Column L.
Keep Python compatible with the repository target and strict MyPy contract.
Keep Rego compatible with approved OPA 1.20.0 and the existing package conventions.
Keep Checkov options compatible with approved Checkov 3.3.16.
Use strict schemas and fail-closed validation.
Keep all output deterministic and content-safe.
Do not add a dependency or modify a requirements file.
Do not create a fixture/report/cache inside the repository.
Do not modify .secrets.baseline; any later candidate must follow the separate owner-review
workflow.
Do not calculate/update integrity hashes or repository commit SHAs under Column L unless an
exact approved UPDATE path and value are present; none are approved here.
Never invent a future commit SHA.
Do not stage any path.
If implementation reveals a required path outside the manifest or an approved unchanged
consumer must change, stop immediately. Return the missing producer/consumer, reason, proposed
classification and smallest complete manifest amendment. Do not partially implement around it.
19. Failure and cancellation behavior
The implemented policy boundary must enforce:
malformed policy input: FAIL;
missing evaluation context: FAIL;
unsupported or unevaluated AWS change: FAIL;
missing policy package or empty policy result: FAIL;
invalid exception registry: FAIL through W5-EXC-001;
OPA/Checkov disagreement: FAIL;
partial Checkov execution or changed skip inventory: FAIL/INDETERMINATE as appropriate;
external tool absent during later owner execution: NOT RUN or INDETERMINATE, never PASS;
cancellation: preserve no partial eligibility result and create no replacement work;
no automatic retry that could change policy outcome;
no automatic remediation after any failure.
Policy eligibility requires both OPA and Checkov to pass their exact approved scopes. It never
authorizes Terraform apply, AWS access, deployment or release.
20. Post-edit response — no test claims
After completing the bounded edits, return:
Exact CREATE, UPDATE and DELETE counts and path lists.
Concise purpose of every changed path.
Confirmation that all VERIFIED UNCHANGED, DEFERRED and EXCLUDED paths remained unchanged.
Confirmation that protected W3/W5 evidence and D23 residue were not modified.
Any implementation limitation or new consumer discovered.
A complete owner TEST-001 guide containing all commands together and grouped by topic.
For every test topic: purpose, exact command, expected result, cost/access/privacy impact,
residue and stop condition.
Exact rollback and cleanup guidance, without executing it.
No PASS/FAIL claim for commands not run.
The owner TEST-001 guide must begin with: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Set-Location -LiteralPath $repoRoot
&amp; $taskPython --version
(Get-Command python -ErrorAction Stop).Source
(Get-Command detect-secrets-hook -ErrorAction Stop).Source
&amp; $taskPython -B -m pre_commit --version
&amp; $taskPython -m pip show detect-secrets
The following is the complete planned owner TEST-001 guide. It is not authorized by Column
L. The owner may run it only after the bounded implementation response and an explicit
TEST-001 execution approval. Run topics in order and stop on the first unexpected result.
Topic T1 — Environment and executable identity
Purpose: bind every local tool to the approved external environment before any test or hook.
Exact command: use the initialization block above, followed by:
&amp; $taskPython --version
(Get-Command python -ErrorAction Stop).Source
(Get-Command detect-secrets-hook -ErrorAction Stop).Source
&amp; $taskPython -B -m pre_commit --version
&amp; $taskPython -m pip show detect-secrets
&amp; $taskPython -B -m ruff --version
&amp; $taskPython -B -m mypy --version
&amp; $taskPython -B -m pytest --version
&amp; $checkovCli --version
&amp; $opa version
&amp; $tflint --version
Expected: Python 3.13.7; pre-commit 4.6.2; detect-secrets 1.5.0; Ruff 0.16.4;
MyPy 1.20.2; Pytest 9.1.1; Checkov 3.3.16; OPA 1.20.0; TFLint 0.60.0.
python and detect-secrets-hook must resolve beneath $taskScripts.
Impact: read-only local metadata; no repository write, network, AWS or paid use.
Stop: any missing executable, path outside an approved location or version mismatch.
Topic T2 — Baseline, staging and path boundary
Purpose: prove TEST-001 starts from the implemented but uncommitted approved boundary.
git rev-parse --show-toplevel
git branch --show-current
git rev-parse HEAD
git rev-list --left-right --count HEAD...origin/main
git status --short --untracked-files=all
git diff --name-only
git diff --cached --name-only
Expected: repository root and branch above; HEAD still
0bcef1386f5b951f205fa1c6b9c547cb207ae037; no staged path; changes limited to exactly the
seven CREATE and eleven UPDATE paths plus the optional owner-controlled Excel lock.
Impact: read-only Git metadata; no network because the already configured local tracking ref
is used.
Stop: HEAD/branch drift, staged content, an unexpected path, a missing approved path or an
overlap with an owner change.
Topic T3 — Approved external cache and temporary directories
Purpose: keep every task-owned cache and temporary test file outside the repository.
New-Item -ItemType Directory -Force -Path $env:PRE_COMMIT_HOME | Out-Null
New-Item -ItemType Directory -Force -Path $env:TEMP | Out-Null
Expected: only the exact W5-003 external cache and temporary directories are created or reused.
Impact: local filesystem allocation only; no network, cloud or protected-data use. Gyan
Prakash Rai owns later cleanup.
Stop: either path res</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</si>
  <si>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</si>
  <si>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</si>
  <si>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FOUR APPROVAL GATES PLUS OWNER TESTING AND WEEKLY LEARNING — TRACKER v1.3.5
# MAIN PROMPT — W5-004
## TASK IDENTITY
* Week: Week 5
* Task ID: W5-004
* Feature/outcome: Reviewed Terraform plan, controlled AWS sandbox lifecycle, rollback, teardown and orphan-resource verification
* Covered tracker steps:
  * W5-09 — Plan review
  * W5-10 — Sandbox lifecycle
  * W5-11 — Teardown plan
  * W5-12 — Cleanliness proof
* Future reusable consumer:
  * W6-12 — Final Week 6 teardown
* Business purpose: Prove that the approved AWS sandbox can be planned, reviewed, created, validated, rolled back or destroyed without applying unseen changes or leaving unmanaged resources and cost behind.
* Task type: Governed implementation and owner-executed AWS lifecycle task
* Initial authority: Gate 1 read-only inspection and planning only
* Next gate: Separate exact Column L Code Edit Approval
* Cloud mutation authority: Separate owner TEST-001 approvals after implementation and local validation
Do not confuse tracker step `W5-04`, which is the IAM/OIDC foundation implemented under W5-001, with task `W5-004`, which governs W5-09 through W5-12.
---
## INITIAL EXECUTION INSTRUCTION — GATE 1 ONLY
When this Main Prompt is first invoked, perform Gate 1 read-only inspection and planning only.
Do not:
* Create, edit, delete or format repository files.
* Install or upgrade software.
* Run Ruff, MyPy, Pytest, pre-commit, Terraform, Checkov, OPA, TFLint, AWS CLI, Docker or any application command.
* Run `terraform init`, `plan`, `apply`, `destroy`, `state`, `import`, `refresh` or `force-unlock`.
* Contact AWS, GitHub, registries, package indexes, Bedrock, OpenSearch, ECR, EKS or another external service.
* Start or stop services, containers, collectors or applications.
* Generate a real Terraform plan.
* Deploy, roll back, purge or destroy any resource.
* Create documentation or evidence.
* Change Excel.
* Stage, commit or push.
* Clean or delete pre-existing caches, reports, images, volumes, state, locks or owner-controlled files.
Preserve every unrelated owner change.
Never infer an approval, PASS result, AWS resource, Terraform state, account identity, cost, plan eligibility or successful cleanup.
---
## EXPECTED BASELINE AND PREFLIGHT
Expected repository:
`E:\AI\enterprise_ai_platform`
Expected branch:
`main`
Last owner-reported HEAD:
`9963f2b24d9c42c03c62b97615fd650ab0eb5bc8`
Last owner-reported source-composition SHA-256:
`c81d465fe06e4d9948fd6ef3e7d65608b34bfaf2c3df5b82dc968daf9f8cbecc`
These values are preflight expectations, not permission to ignore later approved changes.
Gate 1 must report:
1. Exact repository root, branch and HEAD.
2. Complete staged, unstaged and untracked status.
3. Every owner-controlled or protected dirty path.
4. Every W5-001, W5-002 and W5-003 implementation path currently changed or committed.
5. Current Terraform state, plan, lock, cache and report files inside and outside the repository, using only already approved readable locations.
6. Current existence and SHA-256 of governing evidence and protected inputs.
7. Whether an Excel `~$` lock exists. Treat it as owner-controlled, excluded and non-blocking.
8. Whether any unexpected code, IaC, documentation, evidence, Terraform state or runtime residue exists.
Previously reported owner-controlled paths must be re-read and classified from current facts, including:
* `docs/governance/Enterprise_AI_Architecture_6_Week_Execution_Tracker_v1.3.5.xlsx`
* `docs/learning/W5-002-W5-003-security-learning-review.docx`
Do not require a clean worktree if every existing difference is explicitly approved, classified and outside the proposed W5-004 boundary.
Stop without editing if:
* The branch is not `main`.
* HEAD differs without an owner-approved successor baseline.
* An implementation or evidence path has unexplained drift.
* A protected hash differs.
* A staged, unstaged or untracked path cannot be classified.
* Existing Terraform state or cloud-lifecycle residue conflicts with the expected lifecycle starting point.
Return:
`BLOCKED — BASELINE CHANGED — W5-004.`
---
## SOURCE PRECEDENCE
Apply the repository’s approved source precedence exactly:
1. Enterprise AI Architecture Source of Truth v1.1.
2. Final owner-approved ADRs and decision records.
3. Final-approved implementation and test evidence.
4. Coaching and learning records.
5. Tracker v1.3.5.
6. Current repository implementation.
A stale tracker status cannot reopen a final-approved implementation. Conversely, code or a tracker status alone cannot convert missing owner testing, documentation or approval into completion.
Report every conflict. Do not silently reconcile it.
---
## CURRENT OWNER-SUPPLIED IMPLEMENTATION CONTEXT
All facts below must be verified against the current repository and canonical evidence before use.
### Week 1
Week 1 established the repository, typed configuration, testing controls, security boundaries, reversibility, tagging and governance foundations.
Gate 1 must verify the current W1-08/SEC-003 pre-commit and secret-scanning closure rather than relying on an older tracker status.
No current W5-004 action may weaken:
* Ruff, MyPy or Pytest controls.
* Pre-commit enforcement.
* Detect-secrets controls.
* Secret-fixture redaction.
* Repository cleanliness requirements.
* Owner-controlled Git boundaries.
### Week 2
Week 2 established provider-neutral embedding, ingestion, retrieval, tenant/classification/ACL authorization and local/fake provider boundaries.
W5-004 must not alter those contracts or treat local/fake tests as proof of live AWS services.
### Week 3
Week 3 established cited RAG, immutable evaluation baselines, guardrails and configuration rollback.
The W3-002 protected baseline must remain exact.
W5-004 does not rerun or modify the RAG evaluation baseline and must not infer live model quality from infrastructure deployment.
### Week 4
Week 4 established:
* API and authorization controls.
* Agent workflow and human approval.
* Budgets and bounded execution.
* Redacted persistence.
* Vendor-neutral observability.
* Negative-path and load tests.
* Release rollback.
* Local rollback and zero-residue verification.
The latest reported Week 4 ordinary suite completed with 724 passed, 7 skipped and 4 deselected. Gate 1 must verify the final records before relying on this.
W5-004 must preserve the distinction between:
* Application release rollback.
* Terraform infrastructure rollback.
* Full sandbox teardown.
These are separate operations and approvals.
### W5-INPUTS-001
The approved input contract contains 30 non-secret sandbox values in:
* `infra/environments/sandbox/terraform.tfvars.example`
* `docs/cost-estimates/W5-inputs.md`
Gate 1 must verify:
* AWS account and Region.
* Network ownership.
* Mandatory tags.
* Budget and cost-alert boundaries.
* Privacy and data-region policy.
* KMS deletion window.
* GitHub/OIDC identity.
* Bedrock model and access status.
* Whether `ExpiresAt` is still `TODO_OWNER`, expired or otherwise unresolved.
No real plan or apply may proceed while `ExpiresAt` or another plan-time value remains unresolved.
The Bedrock policy label `Global Cross-Region` must not be interpreted as permission to deploy Terraform resources outside the approved infrastructure Region.
### W5-001
W5-001 implemented the Terraform and verification foundations for W5-02 through W5-05.
Reported local controls included:
* Ruff: PASS.
* MyPy: PASS.
* Pytest: PASS.
* Terraform formatting and validation: PASS.
* Checkov: PASS.
* OPA policy tests: PASS.
* TFLint: owner-reported PASS.
* Terraform initialization-residue cleanup: PASS.
No Terraform plan, apply, cloud deployment, infrastructure rollback or teardown was executed under W5-001.
The Bedrock owner verification ended with a formal FAIL because Amazon Nova 2 Lite did not reliably preserve mandatory control language. The owner accepted this as a model limitation without converting the result to PASS.
Gate 1 must determine whether an explicit owner decision permits infrastructure lifecycle work to proceed with that accepted model-quality limitation. Infrastructure provisioning must not be described as model-quality or production-readiness approval.
### W5-003
W5-003 implemented the policy-as-code foundation for W5-06.
Reported local policy, quality, security, regression, rollback and cleanliness tests passed.
Its synthetic Terraform-plan-shaped tests did not evaluate a real Terraform plan. Real saved-plan JSON evaluation was explicitly deferred to W5-004.
Gate 1 must verify W5-003 documentation and final owner closure. Missing ADR-015 remains a deferred governance gap unless a later record closes it.
### W5-002 and Python 3.13 remediation
The original W5-002 container-security gate formally failed because its Debian-based image contained disallowed Critical vulnerabilities.
A later Python 3.13.15 Chainguard remediation produced an eligible local OCI candidate with:
* Trivy Critical findings: 0.
* Grype Critical findings: 0.
* Complete ten-report reconciliation: PASS.
* Zero task residue: PASS.
* Eligible for owner approval: true.
* Deployable: false.
* Rollback identity recorded only.
* Rollback execution: NOT RUN.
* Image push, workflow execution, AWS deployment and production readiness: NOT RUN.
Qualified base manifests reported by the owner:
* Builder: `cgr.dev/vayunetrix.com/python@sha256:023795336613750af2cd86cf06503b5b74370c6a561d2a22219a2e80c6fe4811`
* Runtime: `cgr.dev/vayunetrix.com/python@sha256:f7cc453a5d7ac0cf86f585e22b6e404eaa10f69db5d00da50f9940e2806358fa`
W5-002 remains formally FAIL until its documentation, final owner approval and tracker reconciliation are complete.
W5-004 must not:
* Push this image to ECR.
* Deploy it to EKS.
* Describe it as deployable.
* Rewrite the historical W5-002 failure.
* Treat eligibility evidence as deployment approval.
Because original W5-09 depends on W5-02 through W5-08, Gate 1 must explicitly reconcile whether W5-002 and W5-003 have completed all required documentation and owner-approval gates. Planning may continue read-only, but Column L or TEST-001 must not bypass an unresolved prerequisite.
---
## AUTHORITATIVE W5-004 BUSINESS CONTRACT
### W5-09 — Plan review
Generate a saved Terraform plan, a redacted JSON representation, policy results, cost analysis and a human-readable summary.
Business value:
Applying the exact reviewed plan bytes prevents unseen infrastructure changes between review and deployment.
Acceptance requires:
* All W5-02 through W5-08 prerequisites are reconciled.
* Exact source, input, dependency-lock, provider-lock, backend and state identities are recorded.
* The binary saved-plan SHA-256 is recorded.
* Real `terraform show -json` output is evaluated by the approved policy controls.
* Plan creates, updates, replacements and deletes are fully summarized.
* Cost and budget effects are reviewed.
* Sensitive plan values are not copied into ordinary logs or documentation.
* Any drift invalidates the plan.
* Owner approval occurs before apply.
Canonical later evidence:
`docs/deployment-records/W5-plan-review.md`
### W5-10 — Sandbox lifecycle
After explicit approval, apply the exact saved plan, verify the sandbox and exercise only separately approved rollback controls.
Business value:
The project proves infrastructure capability without allowing Codex or automation to self-approve cloud mutations.
Acceptance requires:
* Exact account, Region, environment and identity verification.
* Explicit typed owner approval.
* Application of the exact reviewed saved-plan bytes.
* No automatic re-plan during apply.
* Post-apply Terraform and native AWS verification.
* Actual resources reconcile with the approved plan.
* Security, encryption, private access, tags, logs and cost controls are verified.
* Partial failure stops further work.
* Release rollback and infrastructure rollback remain separately classified.
* Deployment does not imply model, application or production readiness.
Canonical later evidence:
`docs/deployment-records/W5-sandbox.md`
### W5-11 — Teardown plan
Create and review a saved destroy plan while preserving the remote-state bootstrap until the platform is removed and verified.
Business value:
A reviewed deletion plan prevents accidental removal of shared resources or destruction of audit/state data before platform cleanup is proven.
Acceptance requires:
* Exact destroy-plan identity and hash.
* Only project-owned sandbox resources are targeted.
* Shared or owner-managed resources are excluded.
* Dependency order is explicit.
* S3 versioning, delete markers and multipart uploads are handled safely.
* KMS PendingDeletion timing is recorded.
* Bootstrap destruction remains a separate final action.
* Unexpected targets stop the process before mutation.
Canonical later evidence:
`docs/deployment-records/W5-destroy-plan.md`
### W5-12 — Cleanliness proof
After separately approved teardown, use required tags and native AWS service APIs to prove that no active project resource remains.
Business value:
A successful Terraform destroy does not prove that manually created, partially created or detached resources are gone.
Acceptance requires:
* Terraform state and outputs are reconciled.
* Mandatory tags are used for bounded discovery.
* Native service checks cover every relevant service.
* No active unmanaged project resource remains.
* The only permitted exception is an owner-approved KMS key in PendingDeletion.
* Retained evidence, state, reports, caches and local tools are explicitly recorded.
* Cost-bearing residuals cause FAIL.
* The cleanup report is complete and owner-reviewed.
Canonical later evidence:
`docs/resource-cleanliness/W5-report.json`
### W6-12 reusable boundary
W5-004 may implement reusable controls required by W6-12, but it must not execute or claim completion of W6-12 during Week 5.
Week 6 final teardown will require a new saved destroy plan, fresh approvals and current resource discovery. Week 5 plan bytes must never be reused.
---
## THREE SEPARATE OWNER-GATED LIFECYCLE CYCLES
### Cycle A — W5-09 through W5-12
1. Reconcile prerequisites and exact owner inputs.
2. If remote-state bootstrap is absent:
   * Create a bootstrap saved plan.
   * Review targets, policy and cost.
   * Obtain separate bootstrap-apply approval.
   * Apply exact approved bytes.
   * Validate the backend before platform initialization.
3. Generate the platform saved plan.
4. Export a redacted plan JSON.
5. Run Terraform, TFLint, Checkov, OPA and approved cost checks.
6. Produce a human-readable plan summary.
7. Obtain owner plan approval.
8. Apply the exact saved plan after a separate mutation approval.
9. Verify Terraform state, outputs and native AWS resources.
10. Exercise only separately approved rollback verification.
11. Generate and review the destroy plan.
12. Obtain separate destroy approval.
13. Destroy platform resources in dependency order.
14. Run native and tag-based residue verification.
15. Purge only approved project-owned versioned resources when separately authorized.
16. Destroy bootstrap resources last.
17. Run final native cleanup and cost-bearing-residue checks.
Do not automatically continue from one mutation stage to the next.
### Cycle B — After W5-13 and before W6-01
Recreate the Week 6 sandbox using new bootstrap and platform saved plans.
This requires new:
* Inputs.
* Expiry.
* Hashes.
* State identity.
* Cost review.
* Policy review.
* Apply approval.
Do not reuse Cycle A plan bytes.
### Cycle C — W6-12 final teardown
After W6-11, generate and review the final destroy plan, remove traffic and application triggers, destroy platform resources, destroy bootstrap last and verify zero active residuals.
This cycle requires a new owner approval and is not executed under W5-004 TEST-001.
---
## REQUIRED W5-004 IMPLEMENTATION CAPABILITIES
Gate 1 must inspect the repository before naming exact files or symbols.
The proposed implementation must provide or reconcile:
1. Saved-plan generation and immutable plan identity.
2. Plan JSON export with sensitive-value handling.
3. Source, input, lockfile, backend, state and plan hash binding.
4. Plan invalidation on any relevant drift.
5. Human-readable create/update/replace/delete summary.
6. Real-plan OPA evaluation using the W5-003 policy package.
7. Checkov and TFLint integration without weakening existing controls.
8. Bounded cost estimation and budget-stop checks.
9. Typed owner confirmations for apply, rollback, purge and destroy.
10. Account, Region, environment and principal verification.
11. Application of only the approved saved plan.
12. Post-apply Terraform and native AWS validation.
13. Last-known-good Terraform rollback controls.
14. Existing release-rollback integration without redefining the W4 contract.
15. Destroy-plan generation and identity verification.
16. Dependency-ordered platform teardown.
17. Bootstrap-last destruction.
18. Tag-based and native service-specific orphan discovery.
19. Redacted lifecycle reports with deterministic schemas.
20. Idempotent or fail-closed retry behavior.
21. Exact retained-resource reporting.
22. Unit, contract, integration, security, rollback and teardown tests that use deterministic fakes or mocks.
No automated test may perform a real AWS mutation.
---
## REQUIRED NATIVE RESOURCE COVERAGE
Gate 1 must determine which services the current Terraform actually manages and which are future W6 consumers.
The lifecycle and cleanliness design must address, where applicable:
* S3 buckets.
* S3 object versions and delete markers.
* Incomplete multipart uploads.
* Terraform state objects.
* DynamoDB state-lock resources.
* KMS keys, aliases and PendingDeletion.
* Secrets Manager metadata without retrieving secret values.
* ECR repositories and images.
* OpenSearch domains and associated logs.
* IAM roles, policies and attachments.
* CloudWatch log groups and alarms.
* VPCs, subnets, route tables, security groups, endpoints and ENIs.
* EKS clusters, node resources, load balancers and target groups when reused by W6.
* Other tagged resources discovered through approved AWS APIs.
Never delete or mutate a resource merely because its name looks related.
A target must match the approved account, Region, environment, ownership classification and mandatory tags.
Shared VPC, shared EKS, owner-managed IAM, external OIDC and unrelated account resources must remain excluded.
---
## PLAN IDENTITY AND INVALIDATION CONTRACT
Gate 1 must propose the exact identity schema. At minimum, review whether it must contain:
* Schema version.
* Task and lifecycle-cycle ID.
* Repository HEAD.
* Source-composition SHA-256.
* Terraform root.
* Terraform version.
* Provider-lock SHA-256.
* Dependency or tool-lock identities.
* Backend configuration SHA-256.
* Approved input-file SHA-256.
* State lineage and serial where available.
* Account ID.
* Region.
* Environment.
* Caller principal classification.
* Saved-plan SHA-256.
* Plan JSON SHA-256.
* Policy-result SHA-256.
* Cost-summary SHA-256.
* Creation timestamp and expiry.
* Approver and approval timestamp, added only from owner-supplied facts.
* Apply, rollback, destroy and cleanup statuses.
The saved plan must be invalidated when any governed input changes, including:
* Source or Terraform code.
* Variable values.
* Expiry.
* Backend configuration.
* Provider locks.
* Terraform version.
* Account, Region or environment.
* State lineage or serial.
* Policy bundle.
* Cost ceiling.
* Approval context.
* Plan file bytes.
Do not invent a future Git commit SHA.
---
## SECURITY AND PRIVACY BOUNDARY
The design must ensure:
* Short-lived or owner-approved identity only.
* No credentials in repository files, command output, evidence or documentation.
* No access-key creation.
* Exact account and Region verification before AWS calls.
* Least privilege.
* No public resource unless specifically approved.
* Encryption in transit and at rest.
* No retrieval of secret values during verification.
* No raw Terraform sensitive values in ordinary reports.
* No Bedrock prompt, answer, evidence or PII in lifecycle records.
* No silent cross-account, cross-region or provider substitution.
* No broad resource deletion.
* No automatic `terraform force-unlock`.
* No automatic state repair, import or replacement.
* No automatic policy waiver.
* No automatic cost-limit override.
* No automatic apply or destroy after a successful plan.
* All cloud mutations require explicit typed owner confirmation.
A possible credential or secret must be redacted and classified without reproducing it.
Return:
`BLOCKED — POSSIBLE SECRET EXPOSURE — W5-004.`
---
## COST BOUNDARY
Gate 1 must reconcile:
* Monthly sandbox ceiling.
* Daily cost-alert threshold.
* Maximum lifecycle-test spend.
* Cost-alert owner and destination.
* Stop-work authority.
* Cost-bearing services.
* Expected idle cost.
* Maximum approved lifecycle duration.
* `ExpiresAt`.
* Cost implications of OpenSearch, NAT, EKS, logs, KMS, S3, ECR and Bedrock.
* Residual-resource cost after partial failure.
* Whether an approved cost-analysis tool exists.
Planning a budget does not prove that AWS Budgets or alerts are deployed.
If cost cannot be calculated exactly, classify it as INDETERMINATE and stop before apply unless the owner approves an explicit conservative upper bound.
Do not claim USD 0 for local CPU, storage, bandwidth, owner time or retained tooling unless proven.
---
## FAILURE, ROLLBACK AND TEARDOWN SEMANTICS
Keep these meanings separate:
| Operation                | Meaning                                                                      |
| ------------------------ | ---------------------------------------------------------------------------- |
| Retry                    | Repeat a bounded failed read or verification operation                       |
| Remediation              | Change code, inputs, permissions or configuration under a new approval       |
| Release rollback         | Restore the last approved application release                                |
| Infrastructure rollback  | Apply a separately reviewed last-known-good Terraform configuration          |
| Teardown                 | Permanently remove the approved sandbox resources                            |
| Purge                    | Remove versioned/object residue required before approved bucket deletion     |
| Cleanliness verification | Prove absence of active residual resources using state, tags and native APIs |
A failed apply must not automatically trigger destroy.
A failed validation must stop and preserve evidence.
Destroy is not ordinary rollback.
Bootstrap/state removal must occur only after the platform is removed and verified.
KMS PendingDeletion must remain explicitly recorded until its deletion window completes.
Any active unexpected or cost-bearing residual is FAIL, not a warning.
---
## GATE 1 REQUIRED READ-ONLY ANALYSIS
### 1. Business outcome and measurable acceptance
Explain:
* Business problem and beneficiaries.
* Architecture position.
* Included and excluded scope.
* Functional and non-functional acceptance.
* Security, privacy, reliability, cost and lifecycle acceptance.
* Blocking prerequisites.
* Safe deferrals.
* Downstream consequences.
### 2. Governing baseline and prerequisite reconciliation
Inspect and report:
* Branch, HEAD and full status.
* Source-of-Truth and protected hashes.
* W5 input contract.
* W5-001 implementation and formal Bedrock FAIL.
* W5-002 original failure and Python 3.13 remediation.
* W5-003 policy implementation and final closure.
* Current W5-02 through W5-08 tracker/evidence status.
* Exact Terraform roots and modules.
* Terraform and provider-lock versions.
* Backend configuration.
* Current plan/state/runtime residue.
* Approved identity, account, Region, tags, expiry and budget values.
* Missing or deferred ADRs.
* Every contradiction between tracker, evidence and repository.
### 3. Producer-consumer impact matrix
For every proposed path, function, class, schema, command, setting and report, identify:
* Producer or definition.
* Imports, callers and constructors.
* Validators.
* Serializers and parsers.
* Tests and fixtures.
* Terraform roots and modules.
* Platform CLI and Make targets.
* AWS service consumers.
* Documentation and evidence consumers.
* Required change or reason unchanged.
Search the entire repository. Do not infer filenames.
### 4. Function and connection map
Map:
* Command entry points.
* Terraform root selection.
* Account/Region/identity checks.
* Plan generation.
* Plan hashing.
* JSON conversion.
* Policy and cost evaluation.
* Owner approval.
* Exact-plan apply.
* Resource verification.
* Rollback.
* Destroy-plan generation.
* Destroy.
* Purge.
* Orphan scanning.
* Bootstrap-last removal.
* Evidence and cleanup.
Include trust, state, network, authorization, error, retry, timeout, cancellation and concurrency boundaries.
### 5. Exact Column L path boundary
Return complete repository-relative manifests under:
* CREATE.
* UPDATE.
* DELETE.
* VERIFIED UNCHANGED CONSUMERS.
* DEFERRED.
* EXCLUDED.
For every editable path identify exact symbols or sections and purpose.
No wildcard, directory-only or invented path is allowed.
Documentation, deployment records, evidence, Excel and Git mutation must remain outside Column L.
### 6. Schema and serialization analysis
Define exact schemas for:
* Plan identity.
* Plan summary.
* Policy result.
* Cost result.
* Approval record.
* Deployment result.
* Rollback result.
* Destroy-plan result.
* Cleanup/resource-inventory result.
Cover:
* Field names and types.
* Required and optional values.
* Canonical ordering.
* Timestamps.
* Hash formats.
* Resource identities.
* Redaction.
* Duplicate, missing, extra, reordered and malformed fields.
* Schema versioning.
* Deterministic serialization.
* Immutable versus mutable collections.
### 7. Dependency and runtime analysis
Inspect:
* `pyproject.toml`.
* Requirements and lockfiles.
* Terraform version constraints.
* AWS provider lock.
* Checkov, OPA and TFLint versions.
* AWS SDK/CLI use.
* Existing platform CLI.
* Existing Make targets.
* Python 3.13 environment.
* External caches and temporary roots.
Report installation, download, network and provenance requirements. Do not install anything at Gate 1.
### 8. Concurrency, idempotency and partial-failure analysis
Explain:
* Mutual exclusion for lifecycle operations.
* Stale lock handling.
* State-lock ownership.
* Duplicate approval rejection.
* Repeated command behavior.
* Apply/destroy interruption.
* Partial resource creation.
* Partial teardown.
* Timeout behavior.
* Retry boundaries.
* Cancellation.
* Evidence preservation.
* Cleanup following failure.
### 9. Complete automated-test design
List exact tests to create or update for:
* Plan identity and invalidation.
* Account/Region/environment mismatch.
* Missing or expired owner approval.
* Wrong plan hash.
* Source/input/lock/state drift.
* Policy failure.
* Cost-limit failure.
* Unexpected create/update/delete.
* Shared-resource targeting.
* Redaction.
* Partial apply.
* Partial destroy.
* KMS PendingDeletion.
* S3 versions/delete markers/multipart uploads.
* Native resource scans.
* Bootstrap-last ordering.
* Idempotency.
* Rollback.
* Zero local test residue.
State which tests use fakes and which later checks require owner-approved AWS access.
### 10. Planned owner TEST-001 guide
Provide all proposed commands together, grouped by topic.
For every topic state:
* Purpose.
* Exact command.
* Expected result.
* Access, cost and privacy impact.
* Evidence produced.
* Stop condition.
The guide must begin with owner-approved exact values in this form:
```powershell
$taskPython = '&lt;approved-external-venv&gt;\Scripts\python.exe'
$taskScripts = '&lt;approved-external-venv&gt;\Scripts'
$env:PRE_COMMIT_HOME = '&lt;approved-external-cache&gt;'
$env:Path = "$taskScripts;$env:Path"
$env:TEMP = '&lt;approved-external-w5-004-temp&gt;'
$env:TMP = $env:TEMP
```
Then verify:
```powershell
&amp; $taskPython --version
(Get-Command python -ErrorAction Stop).Source
(Get-Command detect-secrets-hook -ErrorAction Stop).Source
&amp; $taskPython -B -m pre_commit --version
&amp; $taskPython -m pip show detect-secrets
```
All local commands may be supplied together, but the owner executes them one at a time and stops at the first unexpected result.
Cloud phases must remain separately approved:
1. Read-only identity and prerequisite verification.
2. Bootstrap plan review.
3. Bootstrap apply.
4. Platform plan generation and review.
5. Platform apply.
6. Post-apply verification.
7. Rollback verification.
8. Destroy-plan generation and review.
9. Platform destroy.
10. Native cleanup verification.
11. Bootstrap destroy.
12. Final orphan and cost-bearing-residue scan.
A plan approval does not authorize apply. Apply approval does not authorize destroy. Destroy approval does not authorize broad purge or cleanup of an unexpected resource.
### 11. Security, privacy, cost and operational impact
Cover:
* Credentials and identity.
* Least privilege.
* Sensitive Terraform plan data.
* Account and Region boundaries.
* Shared-resource protection.
* Data residency.
* Logs and evidence.
* Cost and budget exposure.
* Deployment blast radius.
* State retention.
* Rollback limitations.
* KMS lifecycle.
* Retained local and cloud resources.
* Cleanup ownership.
### 12. Consolidated owner decisions
Ask once for every unresolved decision, with:
* Exact decision.
* Recommendation.
* Alternative and trade-off.
* Gate impact.
* Whether it blocks Column L, local TEST-001, plan generation, apply, destroy or final closure.
At minimum reconcile:
1. Current branch, HEAD, source composition and dirty-path baseline.
2. Final prerequisite status of every W5-02 through W5-08 step.
3. Whether the accepted W5-001 Bedrock FAIL permits infrastructure-only lifecycle work.
4. Whether W5-002 documentation and final owner closure are complete.
5. Whether W5-003 documentation and final owner closure are complete.
6. Exact AWS account, profile and expected caller principal.
7. Exact AWS Region and prohibition on infrastructure-region fallback.
8. Exact network ownership and shared-resource exclusions.
9. Exact mandatory tags.
10. Exact `ExpiresAt`.
11. Monthly, daily and lifecycle-test cost ceilings.
12. Cost-alert owner and stop-work authority.
13. Exact Terraform version and provider-lock identity.
14. Backend and state ownership.
15. Whether bootstrap currently exists.
16. Exact external plan/report/cache/temp locations.
17. Exact plan identity and expiry rules.
18. Allowed plan actions and replacement thresholds.
19. Real-plan OPA, Checkov and TFLint gates.
20. Cost-analysis method and acceptance.
21. Typed confirmation phrases for bootstrap apply, platform apply, rollback, purge, destroy and bootstrap destroy.
22. Last-known-good Terraform identity.
23. Project-owned resource inventory.
24. Shared and owner-managed resources that must never be targeted.
25. S3 purge authority.
26. KMS PendingDeletion acceptance and follow-up owner.
27. Retention or cleanup of Terraform state, plans, JSON, reports and caches.
28. Whether W6-12 support is implementation-only and remains NOT RUN.
29. Exact Column L CREATE/UPDATE/DELETE boundary.
30. Exact Column M documentation boundary to be approved only after owner testing.
Do not request Column L until all edit-blocking decisions and the complete producer-consumer/path boundary are reconciled.
---
## COLUMN L POSITION — LATER SEPARATE APPROVAL
Column L may authorize only exact:
* Application/tool code.
* Terraform configuration.
* Configuration schemas.
* Make or platform CLI integration.
* Automated tests.
Column L must include:
* Expected branch and exact HEAD.
* Complete CREATE, UPDATE and DELETE manifest.
* Complete VERIFIED UNCHANGED, DEFERRED and EXCLUDED inventories.
* Protected dirty paths.
* Expected staged and unstaged state.
* Exact external environment, cache and temporary paths.
* Exact approved owner decisions.
* Exact patch contexts and stop conditions.
Column L must not authorize:
* Terraform or AWS execution.
* Software installation.
* Documentation or evidence writing.
* Deployment, rollback, purge, destroy or cleanup.
* Excel changes.
* Git staging, commit or push.
---
## TEST-001 POSITION — LATER OWNER EXECUTION
TEST-001 requires a separate owner approval.
Local validation and cloud lifecycle activity must be divided clearly.
Every result must be classified exactly as:
* PASS
* FAIL
* NOT RUN
* INDETERMINATE
Skipped tests, deselections and warnings must remain separately recorded.
A FAIL stops the sequenc</t>
  </si>
  <si>
    <t>READY FOR PRE-EDIT REVIEW — W5-004</t>
  </si>
  <si>
    <t>W5-09, W5-10, W5-11, W5-12, W6-12</t>
  </si>
  <si>
    <t xml:space="preserve"># W5-004 — Corrected Column L Code Edit Approval
## 1. Purpose and authority
You are authorized to implement the repository-only W5-004 infrastructure lifecycle control plane using the exact manifest and baseline below.
This approval:
* Supersedes and replaces the previously rejected W5-004 Column L prompt.
* Authorizes exactly `18 CREATE`, `30 UPDATE`, and `0 DELETE` paths.
* Does not approve any previously rejected path or inaccurate hash.
* Authorizes code, configuration, Terraform backend declarations, policy changes, schemas, CLI integration, and deterministic automated-test implementation only.
* Does not authorize test execution, Terraform execution, AWS access, Infracost execution, deployment, documentation, Excel changes, Git staging, commit, push, cleanup, or external-resource creation.
Column L completion means only that the approved implementation files are ready for a separate owner TEST-001 authorization.
---
## 2. Business outcome
Implement a controlled infrastructure lifecycle system that can later:
1. Generate an immutable Terraform plan.
2. Bind review and approval to the exact saved plan.
3. Apply only that reviewed plan.
4. Run policy, security, and cost gates before mutation.
5. Prevent approval reuse, target substitution, account substitution, Region substitution, and plan drift.
6. Support separately authorized rollback and destruction.
7. Detect unmanaged or retained AWS resources.
8. Keep credentials, plans, state, reports, and secrets outside the repository.
9. Reuse the same lifecycle contract for the later W6-12 activity without claiming W6-12 execution now.
The implementation must preserve the approved business architecture and must not alter API, RAG, retrieval, embedding, evaluation, guardrail, agent, telemetry, or model behavior.
---
## 3. Approved baseline
Revalidate this baseline before editing:
| Item                                              | Required value                                                     |
| ------------------------------------------------- | ------------------------------------------------------------------ |
| Repository root                                   | `E:\AI\enterprise_ai_platform`                                     |
| Remote                                            | `https://github.com/gprai/enterprize_ai_platform.git`              |
| Branch                                            | `main`                                                             |
| HEAD                                              | `78576879b2c1d13507680872f471345c7b9b6be0`                         |
| Upstream                                          | `origin/main`                                                      |
| Ahead/behind                                      | `0/0`                                                              |
| Tracked files                                     | `498`                                                              |
| Staged paths                                      | `0`                                                                |
| Unstaged paths                                    | `0`                                                                |
| Untracked paths                                   | `0`                                                                |
| Worktree                                          | Clean                                                              |
| Source-composition paths                          | `94`                                                               |
| Source-composition SHA-256                        | `d9596bcbbab2953f2aa9398d34a2b87a5f2d8751f298f680f287d1bd5648ddff` |
| Excel `~$` lock                                   | Absent                                                             |
| Repository Terraform state/plan/cache/crash files | None                                                               |
| Repository W5-004 reports                         | None                                                               |
External W5-004 environment, runtime, temporary, pre-commit, and Infracost paths must remain absent during Column L.
Historical W5-002 evidence, images, tools, and shared Terraform/TFLint/pip caches are protected retained resources and must not be changed or cleaned.
### Pre-edit stop conditions
Stop before editing if:
* The branch or HEAD differs.
* The upstream or ahead/behind state differs.
* Any staged, unstaged, or untracked path exists.
* The source-composition hash differs.
* A CREATE target already exists.
* An UPDATE target is missing or its SHA-256 differs.
* A protected hash differs.
* A repository Terraform state, saved plan, crash file, runtime report, or cache has appeared.
* An owner-controlled or unrelated path overlaps the proposed edits.
Use:
`BLOCKED — BASELINE CHANGED — W5-004.`
If the repository baseline remains exact but a corrected manifest path or hash does not match, use:
`BLOCKED — CORRECTED COLUMN L MANIFEST MISMATCH — W5-004.`
Do not silently substitute, add, remove, or reclassify a path.
---
## 4. Protected paths and hashes
These paths must remain byte-for-byte unchanged:
| Path                                                                              | Required SHA-256                                                   |
| --------------------------------------------------------------------------------- | ------------------------------------------------------------------ |
| `docs/governance/Enterprise_AI_Architecture_Source_of_Truth_v1.1.docx`            | `d4ce5c6d2cbba3704e8f7f385edeb16573cf21e009b1bf7e87914bace03fb04f` |
| `docs/governance/Enterprise_AI_Architecture_6_Week_Execution_Tracker_v1.3.5.xlsx` | `8eae3d44bd1ac277cacbbd5d7528d266427b7cecd36d3e604b2ba8bf1ca0cf3`  |
| `docs/learning/W5-002-W5-003-security-learning-review.docx`                       | `ac029cb6e0a990ede8a81f204b3d46fe9bfb8e154577e0fca2d33f4249359457` |
| `configs/eval/baselines/w3-002-v1.json`                                           | `4bbc8f24af911ba09356196e9285d261549926c713110f9549929e1e4ac9086f` |
| `infra/environments/sandbox/terraform.tfvars.example`                             | `6591ffc050788a08d7a8263a3b1c19199992ebb3adeafbdc2d2ec7c4b06ab630` |
| `docs/cost-estimates/W5-inputs.md`                                                | `0a0653f0f3a9ff83e8514326484e8807ee25cc1032a24d4cd85611a3c9df3687` |
| `infra/bootstrap/.terraform.lock.hcl`                                             | `9b0470598479b3d5b593f1c9f8d40d866a1e68b6bbaca9ffb8e7f784c381d0fc` |
| `infra/environments/sandbox/.terraform.lock.hcl`                                  | `9b0470598479b3d5b593f1c9f8d40d866a1e68b6bbaca9ffb8e7f784c381d0fc` |
| `requirements-runtime.lock`                                                       | `796831a21aaa94d95d1e2a6a831b6770c1c8609527c05e0d079a573e9457a69a` |
| `requirements-ci.lock`                                                            | `8e8592ebf3161f5e8d74d4944bb3b7ef506dd428ce679490dc8170e52e722ad2` |
| `requirements-checkov.lock`                                                       | `1bd2e5915cca74ee60f82443bae15a49c109a1d614888bea1608ea5b18135da6` |
There is no approved Markdown substitute for the Source of Truth DOCX.
The W3-002 baseline may be produced only through the existing promotion boundary. Do not modify it or its consumers.
---
## 5. Exact CREATE manifest — 18 paths
Create only:
1. `configs/lifecycle/w5-004.json`
2. `tools/platformctl/lifecycle_models.py`
3. `tools/platformctl/lifecycle_io.py`
4. `tools/platformctl/terraform_runner.py`
5. `tools/platformctl/policy_runner.py`
6. `tools/platformctl/cost.py`
7. `tools/platformctl/operation_state.py`
8. `tools/platformctl/aws_live.py`
9. `tests/fakes/platform_lifecycle.py`
10. `tests/unit/test_platformctl_plan_identity.py`
11. `tests/unit/test_platformctl_cost.py`
12. `tests/unit/test_platformctl_operation_state.py`
13. `tests/contract/test_w5_004_lifecycle_contract.py`
14. `tests/integration/test_w5_004_lifecycle_composition.py`
15. `tests/feature/test_w5_004_aws_lifecycle.py`
16. `tests/security/test_w5_004_lifecycle_security.py`
17. `tests/rollback/test_w5_004_infrastructure_rollback.py`
18. `tests/teardown/test_w5_004_cleanliness.py`
All 18 targets must be absent during preflight.
---
## 6. Exact UPDATE manifest — 30 paths
Update only the following files, after confirming their exact pre-edit hashes:
| Path                                                | Required pre-edit SHA-256                                          | Approved edit boundary                                                                                                           |
| --------------------------------------------------- | ------------------------------------------------------------------ | -------------------------------------------------------------------------------------------------------------------------------- |
| `Makefile`                                          | `dea24b2a9fb1f8447ec4f11887015774e9110aa12de98965405b4b7b9d1e884e` | `.PHONY`, help, and separately gated lifecycle targets                                                                           |
| `feature-matrix.yaml`                               | `e0d02555a4a6cf271b2a3814ee7023063f814b34b00dac57f4e330eb858b445e` | Extend `AWS-001` paths and W5-09–W5-12 ownership; preserve W5-04; record W6-12 only as reusable lifecycle capability             |
| `infra/bootstrap/versions.tf`                       | `ace9bdf1615e2f17cc0bdc124491a26d51b7c5232e4b063deded1c73cfcf8fe8` | Add an empty externally configured local-backend declaration                                                                     |
| `infra/environments/sandbox/versions.tf`            | `ace9bdf1615e2f17cc0bdc124491a26d51b7c5232e4b063deded1c73cfcf8fe8` | Add an empty externally configured S3-backend declaration                                                                        |
| `policies/opa/terraform_plan.rego`                  | `2da7d082b69befdc1db90eadd746af1d536d61997f882c72b288f984790f2e28` | Real plan input, action classification, no-op support, safe computed values, unknown/sensitive rejection, deterministic findings |
| `policies/opa/terraform_plan_test.rego`             | `6b3fa93de86d6305a68ba18a107dffb97870ab81ebbbc9a31c592ab34952e4a4` | Preserve foundation cases; add no-op, replacement, destructive, malformed, and real-plan-shaped cases                            |
| `tools/platformctl/__init__.py`                     | `e8a916e85bd367db0093f017731898055dbf3715a143944c94bea162f82d234f` | Public lifecycle exports and version surface                                                                                     |
| `tools/platformctl/cli.py`                          | `67683053b47244c5ba37ec4ce5358c483e9b0220c279d315da53aefc1242e5f0` | Parser, mutation request, main dispatch, and separate lifecycle commands                                                         |
| `tools/platformctl/contracts.py`                    | `eadba6b7df4dbd07a179b1e9c54650d5510a65df7cc7601b0f4556f838503156` | Typed action/approval/mutation contracts and strict binding validation                                                           |
| `tools/platformctl/aws_inventory.py`                | `0cbf0527797033730d2169e9033e83c23d9f40f447a4ea31fb8cf5992265ee3a` | Service, state, resource, and inventory-provider contracts                                                                       |
| `tools/platformctl/bootstrap.py`                    | `23da39a0485855061c0cdea9134818c547730a2a9d6f6d921f739244b3f7bd60` | Separate bootstrap plan/apply validation boundaries                                                                              |
| `tools/platformctl/plan.py`                         | `120d460ea1def9173a151f89ec336a071fe1333692de5e7eede84db09ab933c0` | Saved-plan identity, expiry, governed inputs, and drift validation                                                               |
| `tools/platformctl/deploy.py`                       | `51487f68da1ed2468d3c6f4612118cbe7ca321013c52f315a252fea8acf68b58` | Apply only the exact reviewed saved plan                                                                                         |
| `tools/platformctl/validate.py`                     | `103655080d9e84c1f17990f1ffbe65645f85ebba98a675771eaac2404f6cca7f` | W5-004 files, `AWS-001`, feature and repository validation                                                                       |
| `tools/platformctl/rollback.py`                     | `40bc0ad633ebc157433ef1bdf5da15d58bd0bdc12aee083b02ab85e456d4ba3d` | Separate infrastructure rollback from release rollback                                                                           |
| `tools/platformctl/destroy.py`                      | `ebfd3def9a7206ebbd15b9447e922c2568403330a53b117c95e38f812a49be5c` | Platform destroy, purge, and bootstrap-last gates                                                                                |
| `tools/platformctl/verify_clean.py`                 | `16238de8d042a404b4949cdd6abe14c673688304f9312ac98b61c2c1ec0a8763` | Managed-tag checks, resource identity, KMS residual handling, and cleanliness verification                                       |
| `tests/unit/test_platformctl.py`                    | `22e5903f8d28b67cd2cb5b55b7b4bc7af80c30baaef56b9e7ff99cfcb6f06dba` | Repository and `AWS-001` path contracts                                                                                          |
| `tests/unit/test_platformctl_lifecycle.py`          | `729c5c80cdf1480f8319efb9b07b10dd1471e1d2f41e11dfc4d08647cddc12a9` | Approval lifetime, action isolation, mismatch, expiry, and reuse                                                                 |
| `tests/unit/test_platformctl_verify_clean.py`       | `cae22ee5b30c11022c6e504445fd1c4b1f3be467c326bbc33893876fe8982f90` | Native resource coverage, unmanaged resources, and KMS `PendingDeletion`                                                         |
| `tests/contract/test_platformctl_cli_contract.py`   | `7b9b4b9d2ec07216d0279201bd8e87889231cc48d71f9af69aba1ce3d0a2149c` | Exact commands, actions, exit codes, and inventory services                                                                      |
| `tests/contract/test_terraform_module_contract.py`  | `e19ce27123cc7dcb7ef71f6854d719078239360eba4479c90c3a1e9c493a55d1` | Terraform roots, versions, locks, and backend boundary                                                                           |
| `tests/integration/test_platformctl_dry_run.py`     | `6d5e42d16f08fb2820683f9cbc1d7d7390bef03a65a0bb8371a43b83f8b6a625` | Offline composition using fakes; no real Terraform, AWS, or Infracost                                                            |
| `tests/feature/test_feature_matrix.py`              | `18430f6e93e761b9334919320559c9fc468ee766d431e3fbfa3f39f4c99ee3ff` | Exact `AWS-001` W5-004 paths/steps; preserve ordered feature inventory                                                           |
| `tests/feature/test_mvp_001_platformctl.py`         | `459d7701a53af361c57e2636cb4f2d6ee435a926cb0a5cd50904a58aefe18048` | Expanded lifecycle commands without changing MVP ownership                                                                       |
| `tests/smoke/test_platformctl_help.py`              | `5ab4d191734db56230c8aecc9bbb0f6afd9bcc832150a3226f13ed3458f3ec9a` | Help output and non-mutating command discovery                                                                                   |
| `tests/security/test_platformctl_approval_gates.py` | `b5ad5de4c4aa0368588b5dab3234be948629c59075f5e63cd9cf8c81a94149d1` | Typed, expiring, single-use, action/target/hash-bound approvals                                                                  |
| `tests/security/test_repository_security.py`        | `92f3273b327d4063bbab711dbdf2b8b7b4579217087f63a5ea5aa8f652d42367` | Bounded process/filesystem capabilities; reject secrets and unsafe paths                                                         |
| `tests/teardown/test_platformctl_cleanup.py`        | `9669e29a0eb23104081cb82f2f4f17876b6574c414941bad6cdd76219e34a3de` | External-operation cleanup and backend contract                                                                                  |
| `tests/teardown/test_terraform_state_boundary.py`   | `a5e2c9537bfe0aadde1d8087f8f7d74faba308ef239722b1bcc6310444aaff0a` | State, plan, JSON, cache, crash, and repository-residue boundaries                                                               |
No DELETE path is approved.
---
## 7. Functional implementation contract
### 7.1 Lifecycle configuration
`configs/lifecycle/w5-004.json` must define a strict, deterministic, non-secret lifecycle contract covering:
* Schema version.
* Repository identity.
* AWS profile, account, Region, and expected caller identity.
* Terraform bootstrap and sandbox roots.
* External runtime, temporary, report, plan, state, lock, and cache boundaries.
* Plan lifetime of 60 minutes.
* `ExpiresAt` validation.
* Cost ceilings.
* Infracost executable identity and network restrictions.
* Approved tool versions.
* Permitted lifecycle actions.
* Managed-resource identification.
* Cleanup and retained-resource rules.
Reject extra, missing, malformed, noncanonical, unsafe, or inconsistent values.
### 7.2 Canonical lifecycle models and I/O
Implement strict immutable models for:
* Operation identity and status.
* Terraform plan identity.
* Plan actions and summaries.
* Policy findings.
* Cost findings.
* Approval records.
* Retained resources.
* Cleanup results.
* AWS inventory results.
* Rollback and destroy eligibility.
Canonical artifacts must use:
* UTF-8 without BOM.
* Deterministic ordering.
* Canonical JSON serialization.
* Lowercase SHA-256.
* UTC RFC 3339 timestamps ending in `Z`.
* Atomic writes into approved external directories only.
* No secret, credential, token, raw environment, or unrestricted exception content.
### 7.3 Terraform execution boundary
The Terraform runner must:
* Use argument arrays without `shell=True`.
* Use only an explicitly approved executable.
* Use only the bootstrap or sandbox Terraform root.
* Keep state, saved plans, plan JSON, `.terraform`, crash files, and variable material outside the repository.
* Initialize only with explicit backend parameters.
* Generate a saved binary plan before JSON conversion.
* Hash and record the binary plan, normalized plan JSON, governed inputs, source composition, tool versions, account, Region, and creation/expiry times.
* Apply only the exact reviewed saved binary plan.
* Never auto-replan during apply.
* Reject expired, altered, missing, mismatched, or already-consumed plans.
* Preserve cancellation and return bounded safe errors.
* Avoid raw stdout/stderr or secret-bearing diagnostic retention.
Initial platform eligibility must allow only:
* `create`
* `read`
* `no-op`
It must reject:
* `update`
* `delete`
* `replace`
* Mixed destructive sequences
* Unknown policy-critical values
* Sensitive values that cannot be safely classified
### 7.4 Policy boundary
The policy runner must support bounded invocation of:
* OPA `1.20.0`
* Checkov `3.3.16`
* TFLint `0.60.0`
* AWS ruleset `0.48.0`
The runner must:
* Normalize sanitized Terraform plan JSON.
* Support genuine no-op plans.
* Classify action sequences deterministically.
* Permit computed values only when they are not policy-critical or sensitive.
* Reject unknown security-critical values.
* Produce safe, deterministic findings.
* Never weaken W5-003 policy rules.
* Never claim W5-003 real-plan completion merely because W5-004 adds the adapter.
### 7.5 Cost boundary
The cost adapter must use only:
* Infracost `0.10.45`.
* `E:\AI\.tools\infracost\0.10.45\infracost.exe`.
* Process-scoped `INFRACOST_API_KEY`.
* Pricing traffic to `pricing.api.infracost.io`.
* `dashboard.api.infracost.io` only when demonstrably required.
* Local Terraform plan JSON input through the CLI.
* No direct Plan JSON API upload.
It must:
* Reject missing, malformed, stale, or mismatched cost output.
* Separate supported, unsupported, and usage-dependent costs.
* Keep unknown usage costs `INDETERMINATE`.
* Enforce the USD 3 lifecycle ceiling.
* Avoid calling AWS for cost calculation.
* Never persist or log the API key.
* Preserve asset-level attestation as `INDETERMINATE`.
Column L must implement this boundary but must not install, authenticate, or execute Infracost.
### 7.6 Approval and operation-state controls
Mutation actions must be exact finite values:
* `BOOTSTRAP-APPLY`
* `PLATFORM-APPLY`
* `INFRASTRUCTURE-ROLLBACK`
* `PURGE-SANDBOX`
* `PLATFORM-DESTROY`
* `BOOTSTRAP-DESTROY`
Every mutation approval must be:
* Explicit.
* Typed.
* Single-use.
* Unexpired.
* Bound to the exact action.
* Bound to account and Region.
* Bound to the exact operation and target.
* Bound to the exact saved-plan and configuration hashes when applicable.
* Rejected after use, mismatch, expiry, cancellation, or failure.
Operation locking must:
* Prevent concurrent conflicting operations.
* Use atomic creation.
* Avoid unbounded waiting.
* Detect stale or malformed state safely.
* Keep lock and operation files outside the repository.
* Avoid background threads or tasks.
* Never override a live operation.
### 7.7 AWS boundary
`aws_live.py` must provide an injectable, narrow live-AWS implementation behind the existing inventory contracts.
It must:
* Use the approved profile `default`.
* Require account `526338061652`.
* Require Region `ap-southeast-1`.
* Require caller `arn:aws:iam::526338061652:user/finopsinfra`.
* Fail closed on caller, account, Region, credential, service, pagination, or response-shape mismatch.
* Never accept credentials through JSON, CLI arguments, repository files, reports, or logs.
* Use bounded calls, explicit timeouts, bounded pagination, and no uncontrolled retry loop.
* Return normalized resource metadata only.
* Support deterministic fake implementations for all automated tests.
Column L must not make an AWS call.
### 7.8 Cleanup, destroy, and rollback
The implementation must enforce:
* Platform destroy before bootstrap destroy.
* Explicit approval for S3 purge.
* No implicit or recursive deletion outside approved targets.
* KMS `PendingDeletion` with the approved seven-day window as an expected time-bound residual.
* Exact managed-tag and account/Region matching.
* Unmanaged or ambiguous resources block cleanliness.
* Cost-bearing residuals block clean closure.
* Bootstrap destruction is the final separately approved action.
* No claim of rollback capability to a last-known-good Terraform deployment because none currently exists.
Rollback tests must use deterministic fakes only. No real rollback or destroy is authorized.
### 7.9 Backend declarations
Add empty externally configured backend blocks only:
* Bootstrap: local backend.
* Sandbox: S3 backend.
Do not write bucket names, credentials, secrets, state paths, or backend runtime values into source files.
Existing provider lockfiles must remain unchanged.
### 7.10 Feature and command integration
Extend `AWS-001` and the platform CLI without changing existing ownership.
Provide separately discoverable commands and Make targets for:
* Validation.
* Bootstrap planning.
* Bootstrap apply.
* Platform planning.
* Policy review.
* Cost review.
* Platform apply.
* AWS verification.
* Infrastructure rollback.
* Destroy planning.
* S3 purge.
* Platform destroy.
* Bootstrap destroy.
* Cleanliness verification.
A single command must not silently combine independently approved mutations.
W6-12 may reuse these contracts later, but remains `NOT RUN`.
---
## 8. Automated-test implementation requirements
Create deterministic tests covering:
* Strict lifecycle configuration and schemas.
* Canonical serialization and hashing.
* Plan identity, expiry, drift, mutation, and consumption.
* No-op, create, update, replacement, and delete classification.
* Policy-critical unknown and sensitive-value rejection.
* Cost ceiling, unsupported cost, usage-dependent cost, malformed result, and API-key redaction.
* Operation locking, contention, stale state, malformed state, and cleanup.
* Approval expiry, reuse, action mismatch, target mismatch, account mismatch, Region mismatch, and hash mismatch.
* Exact saved-plan application and prohibition of automatic replanning.
* Bootstrap/platform separation.
* Infrastructure rollback separation from application release rollback.
* S3 purge, platform destroy, and bootstrap-last gates.
* Managed tags, unmanaged resources, orphan detection, cost-bearing residuals, and KMS `PendingDeletion`.
* CLI, Makefile, help, exit-code, feature-matrix, and repository contracts.
* No credentials, tokens, API keys, raw plans, state, provider envelopes, or unrestricted exceptions in output.
* No repository state, plan, cache, crash, report, lock, temporary, or bytecode residue.
* No real Terraform, AWS, Infracost, Docker, GitHub, deployment, rollback, destroy, or network activity.
All process and filesystem behavior in automated tests must use deterministic fakes or task-owned temporary directories.
Do not execute these tests during Column L.
---
## 9. VERIFIED UNCHANGED consumers
In addition to the 11 protected paths, preserve these files unchanged.
### Repository and CI controls
* `.gitignore`
* `.pre-commit-config.yaml`
* `.secrets.baseline`
* `.github/workflows/ci.yml`
* `.github/workflows/plan-sandbox.yml`
* `.github/workflows/security-scan.yml`
* `.checkov.yml`
* `.tflint.hcl`
* `configs/ci/w5-002.json`
* `configs/verification/bedrock-owner-test.json`
* `docker/application.Dockerfile`
* `docker/application.Dockerfile.dockerignore`
* `pyproject.toml`
* `requirements.txt`
* `requirements-dev.txt`
* `requirements-checkov.txt`
### Terraform roots and modules
* `infra/bootstrap/main.tf`
* `infra/bootstrap/variables.tf`
* `infra/bootstrap/outputs.tf`
* `infra/environments/sandbox/main.tf`
* `infra/environments/sandbox/variables.tf`
* `infra/environments/sandbox/outputs.tf`
* `infra/environments/sandbox/backend.hcl.example`
* `infra/modules/network/main.tf`
* `infra/modules/network/variables.tf`
* `infra/modules/network/outputs.tf`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Policies, tools, and test consumers
* `policies/opa/exceptions.json`
* `tools/platformctl/__main__.py`
* `tools/w5_002_ci.py`
* `tools/bedrock_owner_verify.py`
* `tools/releasectl.py`
* `tools/verify_w2_004_local.py`
* `tests/fakes/aws_inventory.py`
* `tests/integration/test_repository_layout.py`
* `tests/integration/test_dependency_contract.py`
* `tests/integration/test_w5_002_ci_composition.py`
* `tests/feature/test_mvp_001_mapping.py`
* `tests/feature/test_w2_002_embedder_contract.py`
* `tests/feature/test_w2_003_ingestion_contract.py`
* `tests/feature/test_terraform_sandbox_plan.py`
* `tests/feature/test_policy_gate.py`
* `tests/feature/test_w5_002_supply_chain.py`
* `tests/security/test_terraform_security.py`
* `tests/security/test_policy_pack.py`
* `tests/security/test_precommit_controls.py`
* `tests/contract/test_policy_exception_contract.py`
* `tests/contract/test_w5_002_workflow_contract.py`
* `tests/rollback/test_policy_pack_rollback.py`
* `tests/teardown/test_policy_pack_cleanliness.py`
* `tests/teardown/test_repository_cleanliness.py`
* `tests/teardown/test_w1_002_cleanliness.py`
* `tests/teardown/test_w5_002_cleanliness.py`
* `tests/teardown/test_bedrock_owner_verify_cleanliness.py`
* `tests/unit/test_w5_002_ci.py`
If any of these requires modification, stop and request a revised manifest.
---
## 10. Deferred work
### Documentation
Do not create or update:
* `docs/deployment-records/W5-plan-review.md`
* `docs/deployment-records/W5-sandbox.md`
* `docs/deployment-records/W5-destroy-plan.md`
* `docs/resource-cleanliness/W5-report.json`
* `docs/test-evidence/README.md`
* ADR-015
These require a separate Column M approval after owner testing.
### External and runtime work
The following remain deferred:
* Creation or modification of `E:\AI\.venvs\enterprise-ai-platform-windows-py31315`
* `E:\AI\.runtime\enterprise_ai_platform\w5-004\owner-test-01`
* `E:\AI\.tmp\enterprise-ai-platform-w5-004\owner-test-01`
* `E:\AI\.pre-commit-cache\enterprise-ai-platform-w5-004`
* `E:\AI\.tools\infracost\0.10.45\infracost.exe`
* Infracost download, installation, authentication, or execution
* Live STS identity verification
* AWS bootstrap discovery
* Terraform initialization
* Terraform plan or apply
* Saved plan and real plan-JSON generation
* Real OPA, Checkov, TFLint, or cost review
* AWS post-apply verification
* Infrastructure rollback
* Destroy-plan generation or execution
* S3 purge
* Bootstrap destroy
* Cloud cleanliness verification
* Column M or Column N
* Tracker update
* Git mutation
* W6-12 execution
---
## 11. Explicit exclusions
Do not:
* Change application, API, RAG, retrieval, embedding, evaluation, guardrail, agent, model, or telemetry business code.
* Write documentation or canonical evidence.
* Modify Excel or the tracker.
* Alter or clean historical W5-002 evidence.
* Store Terraform state, plans, JSON output, caches, reports, credentials, or crash files in the repository.
* Write credentials, access keys, session tokens, or API keys anywhere.
* Contact AWS, Bedrock, ECR, EKS, GitHub-hosted runners, Infracost, or another external service.
* Build, push, pull, or deploy an image.
* Run Terraform, tests, validators, formatters, linters, scanners, policies, or hooks.
* Stage, commit, push, reset, or discard repository changes.
* Use `git add .`, `--no-verify`, or another approval bypass.
* Modify a 49th repository path.
If a 49th path is required, stop with:
`BLOCKED — COLUMN L PATH EXPANSION REQUIRED — W5-004.`
---
## 12. Carried-forward owner decisions
Implement consistently with these approved facts:
* W5-001 remains formally `FAIL`; infrastructure-only W5-004 work may proceed.
* W5-002 current closure and all historical failures remain intact.
* W5-003 offline-policy result remains `PASS`; real-plan evaluation remains deferred.
* AWS profile: `default`.
* AWS account: `526338061652`.
* AWS Region: `ap-southeast-1`.
* Expected caller: `arn:aws:iam::526338061652:user/finopsinfra`.
* Networking: project-owned only.
* Shared resources, public ingress, and NAT Gateway: excluded.
* Owner `ExpiresAt`: `2026-12-09T23:59:59Z`.
* Any real plan requires a future UTC `ExpiresAt` no more than 24 hours after plan creation; refresh the supplied value when necessary.
* Lifecycle spending ceiling: USD 3.
* Daily cost alert: USD 3.
* Monthly budget: USD 60.
* Alert destination: `shonarai1988@gmail.com`.
* Cost-alert owner and stop-work authority: Gyan Prakash Rai.
* Terraform: `1.16.1`.
* AWS provider: `6.55.0`.
* OPA: `1.20.0`.
* TFLint: `0.60.0`.
* TFLint AWS ruleset: `0.48.0`.
* Checkov: `3.3.16`.
* Infracost: `0.10.45`.
* Infracost asset-level attestation: `INDETERMINATE`.
* KMS deletion window: seven days.
* Separate typed approvals are mandatory for plan, apply, infrastructure rollback, purge, platform destroy, and bootstrap destroy.
* There is no current last-known-good Terraform deployment.
* W6-12 receives reusable implementation only and remains `NOT RUN`.
---
## 13. Required Column L handoff
After completing the approved edits:
1. Do not run any command or test.
2. Do not stage or commit anything.
3. Report every created and updated path.
4. Confirm `18 CREATE`, `30 UPDATE`, `0 DELETE`, and `48` total editable paths.
5. Report any deviation or unresolved implementation issue.
6. Confirm that every protected and VERIFIED UNCHANGED path remains unchanged.
7. Confirm that no state, plan, report, cache, credential, documentation, Excel, runtime, or external resource was created.
8. Prepare a separate owner TEST-001 guide containing all proposed commands together, grouped by topic with:
   * Purpose
   * Exact command
   * Expected result
   * Access, cost, privacy, and mutation impact
   * Stop condition
9. Do not execute </t>
  </si>
  <si>
    <t>COLUMN M — EXACT DOCUMENT WRITING APPROVAL — W5-004
## 1. Task identity
* Prompt ID: `W5-004`
* Week: Week 5
* Feature: Reviewed deploy, rollback, teardown and orphan scan
* Covered tracker steps:
  * `W5-09` — Plan review
  * `W5-10` — Sandbox lifecycle
  * `W5-11` — Teardown plan
  * `W5-12` — Cleanliness proof
* Future reusable consumer:
  * `W6-12` — Final Week 6 teardown
* Current gate: Column M documentation writing
* Previous gate: Column L implementation and owner-executed lifecycle testing
* Next gate: Separate Column N final approval and complete documentation closure
This prompt authorizes documentation work only. It does not authorize source changes, validation execution, AWS access, Terraform operations, Git mutation, tracker editing or final approval.
## 2. Current lifecycle position
The owner completed the W5-004 lifecycle in this order:
1. Read-only AWS identity and prerequisite verification — completed.
2. Bootstrap plan review — completed.
3. Bootstrap apply — completed.
4. Platform plan and policy/cost review — completed with recorded qualifications.
5. Platform apply — completed.
6. Post-apply verification — completed.
7. Infrastructure rollback verification — completed through an owner-approved targeted rollback.
8. Destroy-plan review — completed.
9. Platform destroy — completed.
10. Native orphan verification — completed.
11. Bootstrap destroy — completed.
12. Final cost-bearing-residue verification — completed with two expected KMS `PendingDeletion` tails and unresolved delayed billing evidence.
Do not convert this Week 5 lifecycle into completion of `W6-12`. Week 6 final teardown remains `NOT RUN` and requires new infrastructure, plans, evidence and owner approvals.
## 3. Column L implementation baseline
Treat the current uncommitted working tree as the W5-004 Column L implementation baseline.
Owner-reported repository state:
* 42 tracked files modified.
* Multiple new lifecycle files exist.
* No Git staging was performed.
* No commit was created.
* No push occurred.
* No repository cleanup was performed.
Preserve all current Column L code, tests, configuration, IaC and external evidence unchanged.
Do not:
* normalize or clean the working tree;
* stage, commit, reset, restore, discard or push anything;
* rewrite Column L source;
* change tests, policies, Terraform, schemas or configuration;
* delete untracked files;
* move external evidence into the repository;
* claim that uncommitted source is release-ready;
* infer that the owner approved a Git commit or production promotion.
## 4. Column L implementation delivered
Document the following implementation accurately.
### 4.1 Lifecycle-control framework
Column L added or extended a W5-004 lifecycle-control framework under `tools/platformctl/` covering:
* typed lifecycle contracts;
* operation state and locking;
* immutable saved-plan artifacts;
* secure external evidence input and output;
* Terraform execution boundaries;
* policy execution;
* AWS inventory and live adapters;
* cost handling;
* rollback and destroy controls;
* single-use operation directories;
* hash-bound inputs, plans, policy results, approvals, state evidence and runtime identities;
* separate owner-gated actions for bootstrap apply, platform apply, infrastructure rollback, platform destroy and bootstrap destroy;
* state lineage and serial validation;
* AWS account, Region and principal validation;
* plan action-boundary validation;
* private Windows DACL-protected evidence directories.
### 4.2 Terraform lifecycle controls
Document:
* sandbox and bootstrap expiry sentinels;
* mandatory ownership and expiry tags;
* private VPC and endpoint controls;
* KMS encryption;
* ECR and S3 controls;
* IAM roles and policies;
* OpenSearch logging;
* Terraform version pinned to `1.16.1`;
* AWS provider pinned to `6.55.0`.
### 4.3 OPA real-plan review
Document:
* sanitized Terraform plan normalization;
* sensitive-value handling;
* action, scope, expiry, tag, identity, resource and lifecycle validation;
* recovery-plan and destroy-plan scope handling;
* `127/127` OPA policy tests passing.
Do not represent synthetic or unit policy tests as proof of a different live plan. Tie every real-plan statement only to its exact saved-plan evidence.
### 4.4 KMS compatibility remediation
Document the bounded correction exactly:
* Removed only `kms:ViaService` from `AllowExactOpenSearchLogEncryption` in `infra/modules/kms/main.tf`.
* Retained the regional CloudWatch Logs service principal.
* Retained seven KMS actions.
* Retained the wildcard KMS key resource required by the key-policy statement.
* Retained the four exact OpenSearch log-group encryption-context ARNs.
* Updated plan and AWS inventory diagnostics.
* Updated OPA recognition of the exact pre-remediation and post-remediation policy shapes.
* Added positive and negative coverage, including reordered-action and duplicate-action cases.
Do not describe this as broad IAM permission expansion.
## 5. Owner-executed validation facts
Record these results exactly:
* Ruff check: `PASS`.
* Ruff format check: `PASS`.
* Windows MyPy: `PASS` across 117 source files.
* Terraform formatting check: `PASS`.
* Focused policy regression: `PASS`, 6 tests.
* Production-dispatch regression: `PASS`, 10 tests.
* OPA strict check: `PASS`.
* OPA policy tests: `PASS`, `127/127`.
* Earlier full Python suite:
  * `1994 passed`
  * `7 skipped`
  * `4 deselected`
  * `10 subtests passed`
Also record the unresolved validation gap exactly:
* A later full-suite execution found one protected-identity digest mismatch after the KMS test-source change.
* The isolated retry passed.
* No later complete all-suite green rerun is recorded after the final OPA and KMS edits.
* Therefore the final current source tree must not be described as fully release-validated or release-ready.
* A complete current Python-suite rerun remains required after final source review.
* Column M must document this gap. Column M must not run the suite or convert the gap into `PASS`.
* Column N must preserve the gap unless the owner later supplies complete successful evidence.
Do not infer current full-suite success from the earlier run or isolated retry.
## 6. Infrastructure execution facts
Document the lifecycle phases as follows.
### 6.1 Forward platform plan and apply
* Exact saved plan: `saved-plan-015`.
* Owner-reported actions applied:
  * 5 creates;
  * 25 updates;
  * 0 deletes;
  * 0 replacements;
  * 0 imports.
* Owner-supplied abbreviated plan SHA-256: `d69eaf...23788`.
The abbreviated hash is not the full cryptographic identity. During documentation preflight, retrieve the full value only from the canonical retained evidence. If it cannot be verified, record the full hash as pending and do not invent it.
### 6.2 Post-apply verification
* PA-02 through PA-15: `PASS`.
* PA-16 cost review: cost gate remained waived with accepted risk.
* PA-17 evidence reconciliation: `PASS`.
* PA-18 final post-apply decision: `PASS`.
* Primary external evidence:
  * `saved-plan-015\post-apply-verification-001`
Preserve the distinction between post-apply verification and later rollback, destroy and final residue verification.
### 6.3 Targeted infrastructure rollback
* Exact saved plan: `saved-plan-016`.
* Removed:
  * the OpenSearch domain;
  * four managed CloudWatch log groups.
* Retained:
  * the CloudWatch Logs resource policy.
* Owner-supplied abbreviated rollback-plan SHA-256:
  * `636f1c...0e369`
Record that rollback assurance was initially waived because there was no independent pre-existing last-known-good Terraform deployment. A later, separately approved targeted rollback was nevertheless planned, applied and verified. Do not rewrite the initial limitation or describe the targeted rollback as proof of a pre-existing last-known-good deployment.
### 6.4 Full platform destroy
* Exact saved destroy plan: `saved-destroy-017`.
* Applied:
  * 37 deletes.
* Result:
  * platform Terraform state became empty.
* Owner-supplied abbreviated destroy-plan SHA-256:
  * `f0bd42...c041b`
Retrieve the full hash from canonical evidence if available. Do not invent missing characters.
### 6.5 Bootstrap destroy
* Exact bootstrap destroy plan: `saved-bootstrap-destroy-018`.
* Applied:
  * 11 deletes.
* Removed:
  * state bucket;
  * DynamoDB lock table;
  * state KMS alias;
  * all bootstrap-managed resources.
* Owner-supplied abbreviated plan SHA-256:
  * `334443...c6663`
### 6.6 Final verification
* Final result: `PASS`.
* Owner-supplied evidence location:
  * `E:\AI\.tmp\enterprise-ai-platform-w5-004\owner-test-01\consolidated-remediation-001\saved-bootstrap-destroy-018\post-bootstrap-destroy-verification-001\bootstrap-post-destroy-verification-result.json`
* Final evidence SHA-256:
  * `ce6e81bb3e32282da30cb2aa89b792e486a6ed894963d7b35d90acbb9a62bbed`
Confirm the exact filesystem path during read-only preflight. The owner hand-off contained formatting that could be misread as `E:\AI.tmp`; do not silently choose between path variants. Use only the verified canonical path.
## 7. Final AWS state
Record:
* Platform Terraform state: empty.
* Bootstrap Terraform state: empty.
* Bootstrap lineage:
  * `c446f9a2-77d4-9954-20fa-523205d86a8a`
* Bootstrap serial:
  * `31`
Record these resources as absent based on owner-supplied final verification:
* platform VPC;
* endpoints;
* subnets;
* security groups;
* IAM roles and policies;
* ECR repository;
* S3 bucket;
* CloudWatch log groups;
* CloudWatch Logs resource policy;
* OpenSearch resources;
* platform aliases;
* bootstrap state bucket;
* versioned state objects;
* DynamoDB lock table;
* state KMS alias;
* all other bootstrap-managed resources covered by the final verification.
Do not claim global account cleanliness. Scope the conclusion to the project, account, Region, services and discovery boundaries proven by the retained W5-004 evidence.
## 8. Expected residual resources
Record exactly two intentional KMS deletion tails:
1. Platform KMS key:
   * Key ID: `674992cd-d8ea-4c13-9f93-0e0267f273e4`
   * Status: `PendingDeletion`
   * Scheduled deletion:
     * `2026-09-23T12:14:16.738+08:00`
2. Bootstrap-state KMS key:
   * Key ID: `4a7a47a4-ab04-4f03-b3e8-251297dcbc3f`
   * Status: `PendingDeletion`
   * Scheduled deletion:
     * `2026-09-23T15:40:48.581+08:00`
Classify these as expected, time-bound AWS deletion tails—not active usable platform resources and not yet proven absent.
Required deferred verification:
* After both scheduled deletion times, the owner must verify through native AWS read-only checks that both keys have transitioned from `PendingDeletion` to absence.
* Until that verification occurs, do not state that KMS physical deletion is complete.
* Column M must not contact AWS or perform the future verification.
* Assign the follow-up to the owner.
* Preserve the exact dates, timezone and key identifiers.
## 9. Cost and governance facts
Record:
* Lifecycle cost gate:
  * `WAIVED/ACCEPTED_RISK — NOT PASS`
* Advisory Infracost estimate:
  * `$195.184/month`
* Estimated four-hour fixed subtotal:
  * approximately `$1.07`
* Unpriced or incompletely priced:
  * ECR;
  * S3;
  * interface-endpoint data transfer;
  * CloudWatch Logs;
  * KMS requests;
  * teardown activity;
  * retained deletion-tail charges.
* No billing query established a hard USD 3 ceiling.
* `USD_3_BOUNDED=false`.
* Delayed billing evidence has not yet been reconciled.
* Actual incurred and tail cost remains pending.
* Production eligibility:
  * `BLOCKED`
* Data boundary:
  * synthetic;
  * non-sensitive;
  * non-production.
Required deferred cost work:
* Obtain delayed AWS billing evidence after charges have had time to appear.
* Reconcile actual incurred cost, delayed variable charges, teardown cost and retained-tail cost.
* Do not change the waived gate to `PASS`.
* Do not claim that actual cost remained under USD 3 without billing evidence.
* Assign this follow-up to the owner.
## 10. Production and release-readiness restrictions
Keep production promotion blocked until all of the following are separately resolved:
1. The lifecycle-cost gate is genuinely implemented and passes without waiver.
2. Independent rollback readiness is defined before deployment.
3. The complete current Python suite passes after final source review.
4. The uncommitted Column L working tree is reviewed and normalized under separate authorization.
5. An authorized Git commit and review process is completed.
6. Delayed billing evidence is reconciled.
7. Both expected KMS deletion tails are verified absent.
8. All other applicable release gates pass.
Do not describe W5-004 as production-ready merely because the sandbox lifecycle and teardown succeeded.
## 11. Exact documentation boundary
Classify every path under exactly one heading after read-only preflight.
### CREATE
* `docs/test-evidence/W5-004.md`
* `docs/deployment-records/W5-plan-review.md`
* `docs/deployment-records/W5-sandbox.md`
* `docs/deployment-records/W5-destroy-plan.md`
* `docs/resource-cleanliness/W5-report.json`
* `docs/resource-cleanliness/W6-final.json`
### UPDATE
* `docs/test-evidence/README.md`
### VERIFIED UNCHANGED
* None.
### EXCLUDED
Every repository path not enumerated above, including:
* application code;
* lifecycle-control source;
* Terraform;
* OPA;
* configuration;
* schemas;
* automated tests;
* external evidence;
* Excel tracker fields;
* Git index and history.
If an expected CREATE path already exists or the UPDATE path is missing, do not silently reclassify it. Report the actual state and stop for owner clarification unless the current repository and approved prior evidence prove that the classification was intentionally superseded.
Do not add any document outside this seven-path boundary.
## 12. Document-specific requirements
### 12.1 `docs/test-evidence/W5-004.md`
Create the consolidated owner-test record containing:
* task purpose and scope;
* Column L implementation summary;
* exact validation results;
* unresolved full-suite validation gap;
* plan/apply, post-apply, rollback, destroy and bootstrap-destroy outcomes;
* final residue result;
* cost waiver and limitations;
* expected KMS deletion tails;
* delayed billing follow-up;
* uncommitted working-tree status;
* production block;
* evidence locations and verified hashes;
* fields pending Column N;
* `Final Owner Approval` section.
### 12.2 `docs/deployment-records/W5-plan-review.md`
Create the plan-review record containing:
* prerequisite and identity controls;
* exact applicable forward-plan identity;
* source, state and policy binding;
* action summary;
* OPA outcome;
* cost waiver;
* accepted risks;
* owner approval boundaries;
* invalidated, failed or superseded plans only when supported by canonical evidence;
* prohibition on plan reuse;
* fields pending Column N;
* `Final Owner Approval` section.
Do not reconstruct missing plan history from memory or filenames alone.
### 12.3 `docs/deployment-records/W5-sandbox.md`
Create the deployment record containing:
* bootstrap and platform lifecycle sequence;
* applied plan identity;
* actual action summary;
* resource and state results;
* post-apply PA results;
* KMS compatibility outcome;
* security and private-network findings;
* targeted rollback result;
* cost and model limitations;
* exact distinction between infrastructure success and production/model readiness;
* fields pending Column N;
* `Final Owner Approval` section.
### 12.4 `docs/deployment-records/W5-destroy-plan.md`
Create the teardown-plan record containing:
* platform destroy-plan identity;
* expected and actual deletion scope;
* exclusion of shared and owner-managed resources;
* bootstrap-last sequencing;
* separate approvals;
* platform destroy result;
* bootstrap destroy-plan identity and result;
* state-empty results;
* expected KMS deletion tails;
* fields pending Column N;
* `Final Owner Approval` section.
### 12.5 `docs/resource-cleanliness/W5-report.json`
Create valid deterministic JSON containing, at minimum:
* schema version;
* task ID;
* environment;
* account;
* Region;
* verification status;
* verification timestamp from canonical evidence;
* platform state result;
* bootstrap state result;
* service-specific resource results;
* expected residuals;
* unexpected residuals;
* cost-bearing residual classification;
* evidence path;
* evidence SHA-256;
* limitations;
* deferred verification;
* fields pending Column N or an equivalent structured approval object.
The JSON must distinguish:
* absent resources;
* expected `PendingDeletion` KMS tails;
* unexpected active resources;
* unverified future absence;
* delayed cost evidence.
Do not state zero physical residuals while the two KMS keys remain `PendingDeletion`.
### 12.6 `docs/resource-cleanliness/W6-final.json`
This path is required by tracker v1.3.5 as a future reusable W6 consumer. Create it without falsely claiming W6 execution.
It must state:
* Week 6 task `W6-12`: `NOT RUN`;
* this file currently contains only the W5-004 reusable lifecycle handover or baseline;
* no Week 6 plan, deployment, rollback, destroy or final cleanup has occurred;
* W5 saved-plan bytes must not be reused for Week 6;
* Week 6 requires fresh inputs, state, hashes, policy review, cost review, approvals and native discovery;
* current W5 expected KMS tails and follow-up status;
* fields pending future W6 execution;
* fields pending Column N for the W5 handover section.
Do not label this file as a completed Week 6 final cleanliness report.
### 12.7 `docs/test-evidence/README.md`
Update only the minimum relevant index content:
* add W5-004 evidence;
* link the six new documents;
* summarize the lifecycle result truthfully;
* show the full-suite gap;
* show cost waiver and production block;
* show KMS-tail and billing follow-ups;
* show W6-12 as `NOT RUN`;
* preserve all existing historical entries and status wording;
* include fields pending Column N where required.
## 13. Documentation preflight
Before editing:
1. Read all seven exact paths.
2. Classify each path as CREATE or UPDATE exactly as authorized.
3. Verify the current Column L working-tree baseline without modifying it.
4. Read the canonical external evidence required to support each claim.
5. Verify the complete hashes where the owner supplied only abbreviated values.
6. Verify the exact final-result evidence path.
7. Verify that the final evidence SHA-256 is:
   * `ce6e81bb3e32282da30cb2aa89b792e486a6ed894963d7b35d90acbb9a62bbed`
8. Verify the two KMS identifiers and scheduled deletion timestamps.
9. Reconcile conflicting timestamps, paths, hashes, plan identities or result classifications.
10. Confirm no document would overstate:
    * current full-suite validation;
    * actual cost;
    * physical KMS deletion;
    * Git review or commit;
    * production readiness;
    * W6-12 execution.
If evidence is missing, unreadable, changed, conflicting or outside the approved boundary:
* edit nothing;
* report the exact blocker;
* do not infer a replacement fact;
* do not partially write the documentation set.
## 14. Writing rules
Write business-first documentation explaining:
* what business risk each lifecycle control addresses;
* what was actually implemented;
* what the owner actually executed;
* what evidence proves;
* what remains unproven;
* how rollback differs from teardown;
* why native orphan verification follows Terraform destroy;
* why bootstrap destruction occurs last;
* why KMS `PendingDeletion` remains an expected time-bound tail;
* why successful sandbox teardown does not establish production readiness.
Preserve these statuses exactly:
* `PASS`
* `FAIL`
* `NOT RUN`
* `INDETERMINATE`
* `WAIVED/ACCEPTED_RISK — NOT PASS`
* `BLOCKED`
Never convert:
* an isolated retry into a full-suite pass;
* a waiver into a pass;
* advisory cost into actual incurred cost;
* `PendingDeletion` into absence;
* uncommitted code into release-ready code;
* targeted rollback into independent last-known-good rollback assurance;
* W5 lifecycle completion into W6-12 completion;
* infrastructure success into model or production approval.
## 15. Prohibited actions
Do not:
* edit code, tests, configuration, Terraform, OPA or schemas;
* run commands, tests, formatters, scanners or validators;
* contact AWS, billing, Terraform, GitHub or another external service;
* generate, apply, destroy or inspect a new Terraform plan;
* retry any lifecycle operation;
* alter external evidence;
* edit Excel;
* stage, commit, push, reset, restore or clean Git;
* perform KMS follow-up verification;
* perform billing reconciliation;
* run the pending complete Python suite;
* start Column N;
* start another feature;
* add an eighth document.
## 16. Mandatory Column M output
After all seven documents are written, return:
`COLUMN M APPROVED DOCUMENT MANIFEST — W5-004`
The manifest must contain exactly seven rows, one for each CREATE or UPDATE path, with these columns:
1. Exact path.
2. Classification: CREATE or UPDATE.
3. Document purpose.
4. Owner-executed results recorded.
5. Risks and accepted risks.
6. Evidence gaps and limitations.
7. Deployment status.
8. Rollback status.
9. Teardown and residual-resource status.
10. Deferred actions and owner.
11. Fields pending Column N.
12. Exact location of the `Final Owner Approval` section.
13. Column N closure requirement.
The manifest is the complete mandatory Column N scope. No listed document may be omitted, and no unlisted document may be added.
Also return a reconciliation summary containing:
* expected CREATE count: 6;
* actual CREATE count;
* expected UPDATE count: 1;
* actual UPDATE count;
* total manifest documents: 7;
* missing or conflicting documents;
* out-of-scope modifications: expected 0;
* whether every document contains its pending `Final Owner Approval` section;
* whether the current full-suite validation gap remains visible;
* whether cost remains `WAIVED/ACCEPTED_RISK — NOT PASS`;
* whether both KMS tails remain pending future absence verification;
* whether delayed billing reconciliation remains pending;
* whether production eligibility remains blocked;
* whether W6-12 remains `NOT RUN`.
End exactly:
DOCUMENTATION READY FOR OWNER REVIEW — W5-004.</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</si>
  <si>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</si>
  <si>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READY FOR PRE-EDIT REVIEW — W6-001</t>
  </si>
  <si>
    <t>W6-02, W6-03, W6-04, W6-05</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</si>
  <si>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</si>
  <si>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</si>
  <si>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READY FOR PRE-EDIT REVIEW — W6-002</t>
  </si>
  <si>
    <t>READY FOR PRE-EDIT REVIEW — W6-003</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</si>
  <si>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</si>
  <si>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</si>
  <si>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</si>
  <si>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</si>
  <si>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v1.3.5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</si>
  <si>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</si>
  <si>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</si>
  <si>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</si>
  <si>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</si>
  <si>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</si>
  <si>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</si>
  <si>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</si>
  <si>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v1.3.5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</si>
  <si>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</si>
  <si>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</si>
  <si>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</si>
  <si>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</si>
  <si>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</si>
  <si>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</si>
  <si>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</si>
  <si>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v1.3.5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</si>
  <si>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</si>
  <si>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</si>
  <si>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</si>
  <si>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</si>
  <si>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</si>
  <si>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</si>
  <si>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</si>
  <si>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v1.3.5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</si>
  <si>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</si>
  <si>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</si>
  <si>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</si>
  <si>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</si>
  <si>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</si>
  <si>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</si>
  <si>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</si>
  <si>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v1.3.5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</si>
  <si>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</si>
  <si>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</si>
  <si>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</si>
  <si>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</si>
  <si>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</si>
  <si>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Post-MVP</t>
  </si>
  <si>
    <t>PyTorch Lightning and PEFT/LoRA training lab</t>
  </si>
  <si>
    <t>Learn model development without making it an MVP dependency.</t>
  </si>
  <si>
    <t>Approved model/dataset IDs, license and GPU budget</t>
  </si>
  <si>
    <t xml:space="preserve">FOUR APPROVAL GATES PLUS OWNER TESTING AND WEEKLY LEARNING — TRACKER v1.3.5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</si>
  <si>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</si>
  <si>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</si>
  <si>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</si>
  <si>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</si>
  <si>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</si>
  <si>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</si>
  <si>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</si>
  <si>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</si>
  <si>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v1.3.5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</si>
  <si>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</si>
  <si>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</si>
  <si>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</si>
  <si>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</si>
  <si>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</si>
  <si>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</si>
  <si>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</si>
  <si>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</si>
  <si>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v1.3.5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</si>
  <si>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</si>
  <si>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</si>
  <si>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</si>
  <si>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</si>
  <si>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</si>
  <si>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</si>
  <si>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</si>
  <si>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</si>
  <si>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</si>
  <si>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</si>
  <si>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v1.3.5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</si>
  <si>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Read-only teaching plan → owner teach-back → owner writes the exact weekly evidence note → final teach-back approval → owner tracker update</t>
  </si>
  <si>
    <t>Owner learning and teach-back review — WEEKLY-LEARN-001</t>
  </si>
  <si>
    <t>W1-13, W2-13, W3-13, W4-13, W5-14, W6-14</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</si>
  <si>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</si>
  <si>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</si>
  <si>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</si>
  <si>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</si>
  <si>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</si>
  <si>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</si>
  <si>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</si>
  <si>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</si>
  <si>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</si>
  <si>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</si>
  <si>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</si>
  <si>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</si>
  <si>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</si>
  <si>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</si>
  <si>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</si>
  <si>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</si>
  <si>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</si>
  <si>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</si>
  <si>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</si>
  <si>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</si>
  <si>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</si>
  <si>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</si>
  <si>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</si>
  <si>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</si>
  <si>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</si>
  <si>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</si>
  <si>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</si>
  <si>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</si>
  <si>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</si>
  <si>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</si>
  <si>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</si>
  <si>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</si>
  <si>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</si>
  <si>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</si>
  <si>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</si>
  <si>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</si>
  <si>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</si>
  <si>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</si>
  <si>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</si>
  <si>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</si>
  <si>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</si>
  <si>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</si>
  <si>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</si>
  <si>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</si>
  <si>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</si>
  <si>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</si>
  <si>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</si>
  <si>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</si>
  <si>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</si>
  <si>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</si>
  <si>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</si>
  <si>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</si>
  <si>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</si>
  <si>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</si>
  <si>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</si>
  <si>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</si>
  <si>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</si>
  <si>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</si>
  <si>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</si>
  <si>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</si>
  <si>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</si>
  <si>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</si>
  <si>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</si>
  <si>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</si>
  <si>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</si>
  <si>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</si>
  <si>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</si>
  <si>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</si>
  <si>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</si>
  <si>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</si>
  <si>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</si>
  <si>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</si>
  <si>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</si>
  <si>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</si>
  <si>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</si>
  <si>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</si>
  <si>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</si>
  <si>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</si>
  <si>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</si>
  <si>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</si>
  <si>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</si>
  <si>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</si>
  <si>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</si>
  <si>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</si>
  <si>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</si>
  <si>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</si>
  <si>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</si>
  <si>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</si>
  <si>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</si>
  <si>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</si>
  <si>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</si>
  <si>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</si>
  <si>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</si>
  <si>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</si>
  <si>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</si>
  <si>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</si>
  <si>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</si>
  <si>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</si>
  <si>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</si>
  <si>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</si>
  <si>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</si>
  <si>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</si>
  <si>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</si>
  <si>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</si>
  <si>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</si>
  <si>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</si>
  <si>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</si>
  <si>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</si>
  <si>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Exit 0</t>
  </si>
  <si>
    <t>docs/test-evidence/W5-terraform.txt</t>
  </si>
  <si>
    <t>T-W5-002</t>
  </si>
  <si>
    <t>Policy</t>
  </si>
  <si>
    <t>tflint/Checkov/OPA</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</si>
  <si>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</si>
  <si>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Secure config passes; insecure fixtures fail</t>
  </si>
  <si>
    <t>docs/test-evidence/W5-policy.txt</t>
  </si>
  <si>
    <t>T-W5-003</t>
  </si>
  <si>
    <t>Reviewed sandbox plan</t>
  </si>
  <si>
    <t>Only expected resources; no secret values</t>
  </si>
  <si>
    <t>T-W5-004</t>
  </si>
  <si>
    <t>Trivy, Syft and Grype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</si>
  <si>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</si>
  <si>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</si>
  <si>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</si>
  <si>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</si>
  <si>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</si>
  <si>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</si>
  <si>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</si>
  <si>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</si>
  <si>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</si>
  <si>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</si>
  <si>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</si>
  <si>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</si>
  <si>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</si>
  <si>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</si>
  <si>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</si>
  <si>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</si>
  <si>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</si>
  <si>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</si>
  <si>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</si>
  <si>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</si>
  <si>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</si>
  <si>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</si>
  <si>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</si>
  <si>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</si>
  <si>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</si>
  <si>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</si>
  <si>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</si>
  <si>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</si>
  <si>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</si>
  <si>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</si>
  <si>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</si>
  <si>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</si>
  <si>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</si>
  <si>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</si>
  <si>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</si>
  <si>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</si>
  <si>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</si>
  <si>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</si>
  <si>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</si>
  <si>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</si>
  <si>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</si>
  <si>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</si>
  <si>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</si>
  <si>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</si>
  <si>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</si>
  <si>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</si>
  <si>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</si>
  <si>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</si>
  <si>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</si>
  <si>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</si>
  <si>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</si>
  <si>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</si>
  <si>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</si>
  <si>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</si>
  <si>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</si>
  <si>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</si>
  <si>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</si>
  <si>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</si>
  <si>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</si>
  <si>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</si>
  <si>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</si>
  <si>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</si>
  <si>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</si>
  <si>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</si>
  <si>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</si>
  <si>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</si>
  <si>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</si>
  <si>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</si>
  <si>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</si>
  <si>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</si>
  <si>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</si>
  <si>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</si>
  <si>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</si>
  <si>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</si>
  <si>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</si>
  <si>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</si>
  <si>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</si>
  <si>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</si>
  <si>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</si>
  <si>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</si>
  <si>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</si>
  <si>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</si>
  <si>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</si>
  <si>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</si>
  <si>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</si>
  <si>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</si>
  <si>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</si>
  <si>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</si>
  <si>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</si>
  <si>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</si>
  <si>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</si>
  <si>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</si>
  <si>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</si>
  <si>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</si>
  <si>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</si>
  <si>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</si>
  <si>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</si>
  <si>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</si>
  <si>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</si>
  <si>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</si>
  <si>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</si>
  <si>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</si>
  <si>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</si>
  <si>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</si>
  <si>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</si>
  <si>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</si>
  <si>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</si>
  <si>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</si>
  <si>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</si>
  <si>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</si>
  <si>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</si>
  <si>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</si>
  <si>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</si>
  <si>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</si>
  <si>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</si>
  <si>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</si>
  <si>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</si>
  <si>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</si>
  <si>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</si>
  <si>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</si>
  <si>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</si>
  <si>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</si>
  <si>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</si>
  <si>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</si>
  <si>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</si>
  <si>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</si>
  <si>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</si>
  <si>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</si>
  <si>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</si>
  <si>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</si>
  <si>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</si>
  <si>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</si>
  <si>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</si>
  <si>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</si>
  <si>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</si>
  <si>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</si>
  <si>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</si>
  <si>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</si>
  <si>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</si>
  <si>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</si>
  <si>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</si>
  <si>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</si>
  <si>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</si>
  <si>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</si>
  <si>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</si>
  <si>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</si>
  <si>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</si>
  <si>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</si>
  <si>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</si>
  <si>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</si>
  <si>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</si>
  <si>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</si>
  <si>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</si>
  <si>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</si>
  <si>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</si>
  <si>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</si>
  <si>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</si>
  <si>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</si>
  <si>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</si>
  <si>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</si>
  <si>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</si>
  <si>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</si>
  <si>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</si>
  <si>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</si>
  <si>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</si>
  <si>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</si>
  <si>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</si>
  <si>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</si>
  <si>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</si>
  <si>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</si>
  <si>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</si>
  <si>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</si>
  <si>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</si>
  <si>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</si>
  <si>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</si>
  <si>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</si>
  <si>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</si>
  <si>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</si>
  <si>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</si>
  <si>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</si>
  <si>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</si>
  <si>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</si>
  <si>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</si>
  <si>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</si>
  <si>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</si>
  <si>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</si>
  <si>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</si>
  <si>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</si>
  <si>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</si>
  <si>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</si>
  <si>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</si>
  <si>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</si>
  <si>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</si>
  <si>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</si>
  <si>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</si>
  <si>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</si>
  <si>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</si>
  <si>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</si>
  <si>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</si>
  <si>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</si>
  <si>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</si>
  <si>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</si>
  <si>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</si>
  <si>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</si>
  <si>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</si>
  <si>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</si>
  <si>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</si>
  <si>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</si>
  <si>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</si>
  <si>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</si>
  <si>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</si>
  <si>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</si>
  <si>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</si>
  <si>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</si>
  <si>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</si>
  <si>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</si>
  <si>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</si>
  <si>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</si>
  <si>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</si>
  <si>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</si>
  <si>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</si>
  <si>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</si>
  <si>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</si>
  <si>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</si>
  <si>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</si>
  <si>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</si>
  <si>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</si>
  <si>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</si>
  <si>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</si>
  <si>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</si>
  <si>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</si>
  <si>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</si>
  <si>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</si>
  <si>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</si>
  <si>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</si>
  <si>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</si>
  <si>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</si>
  <si>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</si>
  <si>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</si>
  <si>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</si>
  <si>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</si>
  <si>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</si>
  <si>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</si>
  <si>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</si>
  <si>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</si>
  <si>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</si>
  <si>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</si>
  <si>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</si>
  <si>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</si>
  <si>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</si>
  <si>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</si>
  <si>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</si>
  <si>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</si>
  <si>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</si>
  <si>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</si>
  <si>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</si>
  <si>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</si>
  <si>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</si>
  <si>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</si>
  <si>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</si>
  <si>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</si>
  <si>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</si>
  <si>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</si>
  <si>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</si>
  <si>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</si>
  <si>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</si>
  <si>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</si>
  <si>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</si>
  <si>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</si>
  <si>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</si>
  <si>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</si>
  <si>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</si>
  <si>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</si>
  <si>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</si>
  <si>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</si>
  <si>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</si>
  <si>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</si>
  <si>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</si>
  <si>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</si>
  <si>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</si>
  <si>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</si>
  <si>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</si>
  <si>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</si>
  <si>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</si>
  <si>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</si>
  <si>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</si>
  <si>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</si>
  <si>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</si>
  <si>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</si>
  <si>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</si>
  <si>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</si>
  <si>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</si>
  <si>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</si>
  <si>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</si>
  <si>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</si>
  <si>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</si>
  <si>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</si>
  <si>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</si>
  <si>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</si>
  <si>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</si>
  <si>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</si>
  <si>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</si>
  <si>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</si>
  <si>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</si>
  <si>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</si>
  <si>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</si>
  <si>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</si>
  <si>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</si>
  <si>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</si>
  <si>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</si>
  <si>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</si>
  <si>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</si>
  <si>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</si>
  <si>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</si>
  <si>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</si>
  <si>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</si>
  <si>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</si>
  <si>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</si>
  <si>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</si>
  <si>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</si>
  <si>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</si>
  <si>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</si>
  <si>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</si>
  <si>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</si>
  <si>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</si>
  <si>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</si>
  <si>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</si>
  <si>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</si>
  <si>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</si>
  <si>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</si>
  <si>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</si>
  <si>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</si>
  <si>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</si>
  <si>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</si>
  <si>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</si>
  <si>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</si>
  <si>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</si>
  <si>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</si>
  <si>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</si>
  <si>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</si>
  <si>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</si>
  <si>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</si>
  <si>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</si>
  <si>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</si>
  <si>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</si>
  <si>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</si>
  <si>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</si>
  <si>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</si>
  <si>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</si>
  <si>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</si>
  <si>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</si>
  <si>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</si>
  <si>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</si>
  <si>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</si>
  <si>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</si>
  <si>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</si>
  <si>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</si>
  <si>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</si>
  <si>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</si>
  <si>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</si>
  <si>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</si>
  <si>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</si>
  <si>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</si>
  <si>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</si>
  <si>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</si>
  <si>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</si>
  <si>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</si>
  <si>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</si>
  <si>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</si>
  <si>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</si>
  <si>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</si>
  <si>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</si>
  <si>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</si>
  <si>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</si>
  <si>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</si>
  <si>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</si>
  <si>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</si>
  <si>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</si>
  <si>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</si>
  <si>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</si>
  <si>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</si>
  <si>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</si>
  <si>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</si>
  <si>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</si>
  <si>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</si>
  <si>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</si>
  <si>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</si>
  <si>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</si>
  <si>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</si>
  <si>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</si>
  <si>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</si>
  <si>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</si>
  <si>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</si>
  <si>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</si>
  <si>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</si>
  <si>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</si>
  <si>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</si>
  <si>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</si>
  <si>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</si>
  <si>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</si>
  <si>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</si>
  <si>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</si>
  <si>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</si>
  <si>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</si>
  <si>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</si>
  <si>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</si>
  <si>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</si>
  <si>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</si>
  <si>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</si>
  <si>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</si>
  <si>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</si>
  <si>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</si>
  <si>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</si>
  <si>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</si>
  <si>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</si>
  <si>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</si>
  <si>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</si>
  <si>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</si>
  <si>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</si>
  <si>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</si>
  <si>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</si>
  <si>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</si>
  <si>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</si>
  <si>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</si>
  <si>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</si>
  <si>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</si>
  <si>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</si>
  <si>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</si>
  <si>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</si>
  <si>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</si>
  <si>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</si>
  <si>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</si>
  <si>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</si>
  <si>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</si>
  <si>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</si>
  <si>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</si>
  <si>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</si>
  <si>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</si>
  <si>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</si>
  <si>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</si>
  <si>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</si>
  <si>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</si>
  <si>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</si>
  <si>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</si>
  <si>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</si>
  <si>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</si>
  <si>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</si>
  <si>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</si>
  <si>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</si>
  <si>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</si>
  <si>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</si>
  <si>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</si>
  <si>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</si>
  <si>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</si>
  <si>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</si>
  <si>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</si>
  <si>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</si>
  <si>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</si>
  <si>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</si>
  <si>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</si>
  <si>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</si>
  <si>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</si>
  <si>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</si>
  <si>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</si>
  <si>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</si>
  <si>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</si>
  <si>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</si>
  <si>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</si>
  <si>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</si>
  <si>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</si>
  <si>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</si>
  <si>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</si>
  <si>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</si>
  <si>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</si>
  <si>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</si>
  <si>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</si>
  <si>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</si>
  <si>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</si>
  <si>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</si>
  <si>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</si>
  <si>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</si>
  <si>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</si>
  <si>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</si>
  <si>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</si>
  <si>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</si>
  <si>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</si>
  <si>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</si>
  <si>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</si>
  <si>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</si>
  <si>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</si>
  <si>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</si>
  <si>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</si>
  <si>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</si>
  <si>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</si>
  <si>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</si>
  <si>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</si>
  <si>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</si>
  <si>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</si>
  <si>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</si>
  <si>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</si>
  <si>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</si>
  <si>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</si>
  <si>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</si>
  <si>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</si>
  <si>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</si>
  <si>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</si>
  <si>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</si>
  <si>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</si>
  <si>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</si>
  <si>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</si>
  <si>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</si>
  <si>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</si>
  <si>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</si>
  <si>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</si>
  <si>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</si>
  <si>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</si>
  <si>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</si>
  <si>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</si>
  <si>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</si>
  <si>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</si>
  <si>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</si>
  <si>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</si>
  <si>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</si>
  <si>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</si>
  <si>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</si>
  <si>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</si>
  <si>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</si>
  <si>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</si>
  <si>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</si>
  <si>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</si>
  <si>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</si>
  <si>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</si>
  <si>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</si>
  <si>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</si>
  <si>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</si>
  <si>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</si>
  <si>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</si>
  <si>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</si>
  <si>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</si>
  <si>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</si>
  <si>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</si>
  <si>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</si>
  <si>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</si>
  <si>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</si>
  <si>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</si>
  <si>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</si>
  <si>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</si>
  <si>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</si>
  <si>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</si>
  <si>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</si>
  <si>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</si>
  <si>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</si>
  <si>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</si>
  <si>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</si>
  <si>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</si>
  <si>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</si>
  <si>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</si>
  <si>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</si>
  <si>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</si>
  <si>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</si>
  <si>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</si>
  <si>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</si>
  <si>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</si>
  <si>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</si>
  <si>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</si>
  <si>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</si>
  <si>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</si>
  <si>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</si>
  <si>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</si>
  <si>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</si>
  <si>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</si>
  <si>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</si>
  <si>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</si>
  <si>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</si>
  <si>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</si>
  <si>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</si>
  <si>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</si>
  <si>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</si>
  <si>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</si>
  <si>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</si>
  <si>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</si>
  <si>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</si>
  <si>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</si>
  <si>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</si>
  <si>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</si>
  <si>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</si>
  <si>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</si>
  <si>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</si>
  <si>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</si>
  <si>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</si>
  <si>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</si>
  <si>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</si>
  <si>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</si>
  <si>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</si>
  <si>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</si>
  <si>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</si>
  <si>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</si>
  <si>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</si>
  <si>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</si>
  <si>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</si>
  <si>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</si>
  <si>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</si>
  <si>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</si>
  <si>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</si>
  <si>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</si>
  <si>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</si>
  <si>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</si>
  <si>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</si>
  <si>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</si>
  <si>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</si>
  <si>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</si>
  <si>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</si>
  <si>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</si>
  <si>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</si>
  <si>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</si>
  <si>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</si>
  <si>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</si>
  <si>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</si>
  <si>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</si>
  <si>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</si>
  <si>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</si>
  <si>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</si>
  <si>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</si>
  <si>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</si>
  <si>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</si>
  <si>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</si>
  <si>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</si>
  <si>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</si>
  <si>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</si>
  <si>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</si>
  <si>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</si>
  <si>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</si>
  <si>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</si>
  <si>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</si>
  <si>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</si>
  <si>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</si>
  <si>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</si>
  <si>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</si>
  <si>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</si>
  <si>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</si>
  <si>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</si>
  <si>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</si>
  <si>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</si>
  <si>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</si>
  <si>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</si>
  <si>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</si>
  <si>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</si>
  <si>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</si>
  <si>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</si>
  <si>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</si>
  <si>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</si>
  <si>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</si>
  <si>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</si>
  <si>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</si>
  <si>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</si>
  <si>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</si>
  <si>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</si>
  <si>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</si>
  <si>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</si>
  <si>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</si>
  <si>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</si>
  <si>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</si>
  <si>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</si>
  <si>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</si>
  <si>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</si>
  <si>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</si>
  <si>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</si>
  <si>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</si>
  <si>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</si>
  <si>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</si>
  <si>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</si>
  <si>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</si>
  <si>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</si>
  <si>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</si>
  <si>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</si>
  <si>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</si>
  <si>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</si>
  <si>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</si>
  <si>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</si>
  <si>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</si>
  <si>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</si>
  <si>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</si>
  <si>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</si>
  <si>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</si>
  <si>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</si>
  <si>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</si>
  <si>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</si>
  <si>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</si>
  <si>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</si>
  <si>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</si>
  <si>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</si>
  <si>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</si>
  <si>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</si>
  <si>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</si>
  <si>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</si>
  <si>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</si>
  <si>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</si>
  <si>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</si>
  <si>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</si>
  <si>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</si>
  <si>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</si>
  <si>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</si>
  <si>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</si>
  <si>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</si>
  <si>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</si>
  <si>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</si>
  <si>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</si>
  <si>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</si>
  <si>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</si>
  <si>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</si>
  <si>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</si>
  <si>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</si>
  <si>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</si>
  <si>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</si>
  <si>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</si>
  <si>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</si>
  <si>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</si>
  <si>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</si>
  <si>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</si>
  <si>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</si>
  <si>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</si>
  <si>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</si>
  <si>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</si>
  <si>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</si>
  <si>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</si>
  <si>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</si>
  <si>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</si>
  <si>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</si>
  <si>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</si>
  <si>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</si>
  <si>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</si>
  <si>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</si>
  <si>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</si>
  <si>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</si>
  <si>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</si>
  <si>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</si>
  <si>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</si>
  <si>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</si>
  <si>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</si>
  <si>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</si>
  <si>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</si>
  <si>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</si>
  <si>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</si>
  <si>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</si>
  <si>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</si>
  <si>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</si>
  <si>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</si>
  <si>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</si>
  <si>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</si>
  <si>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</si>
  <si>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</si>
  <si>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</si>
  <si>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</si>
  <si>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</si>
  <si>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</si>
  <si>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</si>
  <si>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</si>
  <si>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</si>
  <si>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</si>
  <si>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</si>
  <si>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</si>
  <si>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</si>
  <si>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</si>
  <si>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</si>
  <si>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</si>
  <si>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</si>
  <si>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</si>
  <si>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</si>
  <si>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</si>
  <si>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</si>
  <si>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</si>
  <si>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</si>
  <si>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</si>
  <si>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</si>
  <si>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</si>
  <si>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</si>
  <si>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</si>
  <si>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</si>
  <si>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</si>
  <si>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</si>
  <si>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</si>
  <si>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</si>
  <si>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</si>
  <si>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</si>
  <si>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</si>
  <si>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</si>
  <si>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</si>
  <si>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</si>
  <si>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</si>
  <si>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</si>
  <si>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</si>
  <si>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</si>
  <si>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</si>
  <si>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</si>
  <si>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</si>
  <si>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</si>
  <si>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</si>
  <si>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</si>
  <si>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</si>
  <si>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</si>
  <si>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</si>
  <si>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</si>
  <si>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</si>
  <si>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</si>
  <si>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</si>
  <si>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</si>
  <si>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</si>
  <si>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</si>
  <si>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</si>
  <si>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</si>
  <si>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</si>
  <si>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</si>
  <si>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</si>
  <si>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</si>
  <si>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</si>
  <si>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</si>
  <si>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</si>
  <si>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</si>
  <si>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</si>
  <si>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</si>
  <si>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</si>
  <si>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</si>
  <si>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</si>
  <si>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</si>
  <si>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</si>
  <si>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</si>
  <si>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</si>
  <si>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</si>
  <si>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</si>
  <si>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</si>
  <si>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</si>
  <si>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</si>
  <si>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</si>
  <si>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</si>
  <si>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</si>
  <si>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</si>
  <si>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</si>
  <si>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</si>
  <si>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</si>
  <si>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</si>
  <si>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</si>
  <si>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</si>
  <si>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</si>
  <si>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</si>
  <si>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</si>
  <si>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</si>
  <si>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</si>
  <si>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</si>
  <si>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</si>
  <si>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</si>
  <si>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</si>
  <si>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</si>
  <si>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</si>
  <si>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</si>
  <si>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</si>
  <si>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</si>
  <si>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</si>
  <si>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</si>
  <si>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</si>
  <si>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</si>
  <si>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</si>
  <si>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</si>
  <si>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</si>
  <si>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</si>
  <si>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</si>
  <si>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</si>
  <si>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</si>
  <si>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</si>
  <si>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</si>
  <si>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</si>
  <si>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</si>
  <si>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</si>
  <si>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</si>
  <si>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</si>
  <si>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</si>
  <si>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</si>
  <si>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</si>
  <si>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</si>
  <si>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</si>
  <si>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</si>
  <si>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</si>
  <si>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</si>
  <si>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</si>
  <si>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</si>
  <si>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</si>
  <si>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</si>
  <si>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</si>
  <si>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</si>
  <si>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</si>
  <si>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</si>
  <si>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</si>
  <si>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</si>
  <si>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</si>
  <si>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</si>
  <si>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</si>
  <si>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FOUR APPROVAL GATES PLUS OWNER TESTING AND WEEKLY LEARNING — TRACKER v1.3.5
MAIN PROMPT — W6-001
## TASK IDENTITY
- Week: Week 6
- Feature: Immutable EKS application deployment
- Business purpose: Deploy the verified enterprise AI service by immutable image digest with workload identity, restricted networking, health controls, resource bounds, availability controls and a reversible rollout.
- Covered tracker steps:
  - W6-02 — Kubernetes deployment and Service
  - W6-03 — Workload identity and RBAC
  - W6-04 — Network security
  - W6-05 — Resilience and rollout controls
- Required upstream tracker step:
  - W6-01 — Publish the scanned image to ECR by immutable digest
- Tracker dependency:
  - W5-14 — Week 5 checkpoint and learning closure
- Required owner inputs:
  - approved EKS cluster and namespace;
  - exact ECR image repository and immutable digest;
  - scanned-image, SBOM and provenance identities;
  - domain and certificate decision;
  - ingress exposure decision;
  - EKS Pod Identity or IRSA decision;
  - approved AWS account, Region and principal;
  - workload-role permissions;
  - approved runtime configuration and secret references;
  - deployment window, expiry and cost boundary.
- Expected implementation outputs:
  - Kubernetes or Helm deployment artifacts;
  - immutable image-digest binding;
  - Service and approved ingress boundary;
  - service account, workload identity and RBAC;
  - NetworkPolicy;
  - startup, readiness and liveness probes;
  - requests and limits;
  - HPA;
  - PDB;
  - rolling-update and rollback controls;
  - deterministic validation and security tests.
- Task type: code, configuration, deployment manifests and automated tests.
- Next approval position: Column L Code Edit Approval after Gate 1 review.
## OWNER-CONTROLLED FIRST RESPONSE — GATE 1 READ-ONLY ANALYSIS ONLY
Inspect the current repository, approved evidence and governing records read-only.
Do not create, edit, delete, install, download, test, lint, format, build, scan, publish, deploy, apply, roll back, destroy or remediate anything.
Do not:
- contact AWS, ECR, EKS, Kubernetes, a registry, model service or another external service;
- create or modify an EKS cluster, namespace, IAM role, service account, certificate, DNS record or load balancer;
- build, tag, push or promote a container image;
- execute `kubectl`, Helm, Terraform, AWS CLI, Docker or registry commands;
- stage, commit, reset, clean, stash or push Git changes;
- update the tracker;
- write documentation or evidence;
- modify the existing Column L working tree;
- invent missing infrastructure, identities, digests, approvals or test results.
Return one consolidated impact analysis and ask all unresolved owner decisions together.
## SOURCE PRECEDENCE
Apply the project’s existing source-precedence rules:
1. Enterprise AI Architecture Source of Truth v1.1.
2. Approved owner decisions and ADRs.
3. Approved feature and runtime contracts.
4. Approved security, privacy, evaluation, cost and retention decisions.
5. Tracker v1.3.5 and its exact W6-001 rows.
6. Approved Week 1–5 implementation and evidence.
7. Current repository source, configuration, tests and working-tree state.
Report conflicts. Do not silently reconcile them.
## AUTHORITATIVE TRACKER CONTRACT
### W6-02 — Kubernetes
Create EKS Deployment and Service artifacts with non-root, read-only runtime settings and health probes.
Business reason:
Production-shaped runtime boundaries reduce container and availability risk.
Acceptance:
- server-side dry-run and policy validation pass;
- deployment uses the exact immutable ECR digest;
- no mutable tag is deployment authority;
- no plaintext secret appears in a manifest, image, environment value or evidence;
- startup, readiness and liveness behavior matches the implemented API;
- rollback can restore the previously approved digest.
Canonical evidence target:
`docs/test-evidence/W6-02-k8s.txt`
### W6-03 — Workload identity
Configure EKS Pod Identity or IRSA, Kubernetes RBAC and a least-privilege service account.
Business reason:
Pods must never contain static AWS credentials.
Acceptance:
- the selected identity mechanism is explicit;
- trust is bound to the exact cluster, namespace and service account;
- the workload receives only the AWS permissions required by the implemented runtime;
- no static AWS access key is present;
- short-lived identity failure is safe and observable;
- removal of the service-account association restores the previous security boundary.
Canonical evidence target:
`docs/test-evidence/W6-03-identity.txt`
### W6-04 — Network security
Apply default-deny NetworkPolicy and explicit approved ingress and egress paths.
Business reason:
Retrieval, model, telemetry and AWS service paths must be explicit and least privilege.
Acceptance:
- an unauthorized destination is denied;
- approved runtime dependencies remain reachable;
- DNS behavior is explicitly handled;
- ingress sources and ports are constrained;
- egress is limited to approved dependencies;
- network-policy failure does not silently broaden access.
Canonical evidence target:
`docs/test-evidence/W6-04-network.txt`
### W6-05 — Resilience
Configure requests, limits, HPA, PDB and rolling-update settings.
Business reason:
Availability, scheduling and autoscaling behavior must be defined before load, failure and chaos testing.
Acceptance:
- schema and policy checks pass;
- CPU and memory requests and limits have evidence-based rationale;
- HPA metrics, minimums, maximums and stabilization behavior are bounded;
- PDB settings are compatible with the approved replica count;
- rollout surge and unavailability limits preserve service availability;
- rollback returns to the last approved immutable digest.
Canonical evidence target:
`docs/test-evidence/W6-05-resilience.txt`
## WEEK 1–5 BASELINE TO PRESERVE
Gate 1 must verify, rather than assume, the current implementation baseline.
The prior weeks established:
- repository structure, typed configuration, layered testing and feature traceability;
- pre-commit, formatting, linting, MyPy and secret-scanning controls;
- ingestion validation, classification, redaction and idempotency;
- local vector retrieval and portable provider interfaces;
- cited RAG, deterministic guardrails, abstention and evaluation;
- authorization before retrieval and action;
- bounded LangGraph execution, durable human approval and safe terminal outcomes;
- redacted telemetry and correlated API, retrieval, LLM, guardrail, approval and tool traces;
- immutable local release and release-rollback controls;
- Terraform, OPA, AWS identity, immutable-plan and lifecycle controls;
- image scanning, SBOM and provenance foundations;
- complete W5 platform apply, verification, targeted rollback, platform destroy, bootstrap destroy and residue verification.
Do not reopen or redesign these established boundaries without evidence that W6-001 cannot consume them.
## CURRENT W5 HAND-OFF FACTS
Treat these as supplied history that must be verified against current repository and approved evidence:
- W5 lifecycle covered plan, OPA review, apply, post-apply verification, targeted rollback, platform destroy, bootstrap destroy and residue verification.
- Platform and bootstrap Terraform states were empty at final verification.
- Platform and bootstrap resources were destroyed.
- The ECR repository created by W5 was reported absent after teardown.
- The OpenSearch deployment and its managed log groups were removed.
- Two KMS keys entered `PendingDeletion`, scheduled for September 23, 2026.
- Current date is after the scheduled deletion dates; their final absence is not established until owner-executed native AWS verification occurs.
- Lifecycle cost eligibility remained `WAIVED/ACCEPTED_RISK — NOT PASS`.
- `USD_3_BOUNDED=false`.
- Production eligibility remained `BLOCKED`.
- The Nova model-quality result remained a historical FAIL with an accepted non-production learning risk.
- W5 source remains intentionally uncommitted and must be preserved as the implementation baseline until separately reviewed.
- The reported working tree contained 42 modified tracked files plus new lifecycle files.
- No Git cleanup, reset, staging, commit or push was authorized.
- The last historical full Python result was:
  `1994 passed, 7 skipped, 4 deselected, 10 subtests`
- Subsequent focused validation and OPA `127/127` passed.
- A later full-suite run stopped at a protected-identity mismatch after KMS test-source changes; its targeted retry passed.
- No later complete all-suite green run was recorded after the final KMS/OPA changes.
Do not convert historical PASS, FAIL, WAIVED, BLOCKED or NOT RUN results into a different status.
## CRITICAL PREREQUISITE RECONCILIATION
The tracker requires an EKS cluster/namespace and an immutable ECR digest, but the W5 lifecycle ended with the platform and bootstrap resources destroyed.
Gate 1 must determine and report:
1. Whether an EKS cluster was ever implemented in the current repository.
2. Whether an EKS cluster, node capacity, namespace or ECR repository currently exists.
3. Whether current Terraform includes the infrastructure required for W6-001.
4. Whether W5 teardown removed infrastructure required by W6.
5. Whether W6-001 can remain limited to workload deployment artifacts.
6. Whether a separate owner-approved infrastructure recreation or EKS foundation task is required before W6-001 execution.
7. Whether W6-01 can publish an image when the W5 ECR repository is absent.
8. Whether the existing image was built, scanned, assigned an SBOM and retained locally or externally.
9. Whether the exact scanned digest can still be established without rebuilding.
10. Whether W5-13, W5-14, Column M and Column N are actually closed.
11. Whether both KMS deletion tails have transitioned to absence.
12. Whether delayed W5 billing evidence has been reconciled.
13. Whether proceeding with W6 cloud work requires a new cost ceiling and owner window.
Do not solve a missing EKS or ECR prerequisite by silently adding infrastructure to W6-001.
If a separate infrastructure task is required, define the smallest exact boundary and dependency, but do not implement it.
## REQUIRED GATE 1 RESPONSE
### 1. Business outcome and MVP position
Explain:
- who benefits from W6-001;
- how immutable EKS deployment advances the learning MVP;
- what becomes possible after completion;
- why this is a sandbox learning deployment rather than production proof;
- which production claims remain prohibited.
### 2. Governing baseline and dependency status
Report:
- branch and HEAD;
- staged, tracked-modified and untracked state;
- current Column L baseline;
- applicable ADRs and owner decisions;
- W5-14 dependency status;
- W6-01 image-promotion status;
- current EKS, ECR and AWS-infrastructure status based only on existing evidence;
- KMS tail-verification status;
- complete-suite validation gap;
- every conflict, missing prerequisite and stale assumption.
Separate:
- verified current fact;
- historical evidence;
- owner-supplied fact;
- proposed design;
- unresolved decision;
- NOT RUN live verification.
### 3. End-to-end producer-consumer flow
Trace the complete intended path:
```text
approved source
→ reproducible container build
→ security scans
→ SBOM and provenance
→ immutable ECR digest
→ Kubernetes workload manifest
→ service account and AWS workload identity
→ pod security context
→ configuration and secret references
→ NetworkPolicy
→ Service and approved ingress
→ startup/readiness/liveness probes
→ requests and limits
→ HPA and PDB
→ rolling deployment
→ health and identity verification
→ rollback to prior immutable digest
→ later W6-002 observability/SRE integration
→ later W6-003 final proof and teardown
```
For each stage identify:
- producer;
- consumer;
- exact identity or schema;
- validation point;
- authorization boundary;
- safe failure behavior;
- rollback or cleanup behavior.
### 4. Current repository discovery
Inspect and report the exact current paths and symbols for:
- container build definitions;
- image naming and tagging;
- supply-chain scanning;
- SBOM and provenance;
- Kubernetes or Helm directories;
- API container port;
- health, readiness and startup endpoints;
- runtime command and process model;
- environment configuration;
- Secrets Manager integration;
- AWS adapters and required permissions;
- telemetry endpoints;
- namespace and service-account configuration;
- IAM trust and permission policies;
- Terraform EKS/ECR/IAM/networking support;
- CI workflows;
- Make or platform-control entry points;
- OPA/Rego, Checkov and validation policies;
- existing Kubernetes tests and fixtures;
- release and rollback implementation;
- feature-matrix consumers;
- protected-file and lifecycle-inventory consumers.
Classify each expected artifact as:
- existing and reusable;
- existing but requiring modification;
- proposed new artifact;
- unavailable prerequisite;
- excluded from W6-001.
Do not guess filenames.
### 5. Exact architecture design
Propose the smallest design that satisfies W6-02 through W6-05.
The design must address:
- immutable `image@sha256:...` deployment;
- prohibition of `latest` or another mutable authority;
- namespace isolation;
- non-root execution;
- `runAsNonRoot`;
- explicit user/group behavior where supported by the image;
- read-only root filesystem;
- disabled privilege escalation;
- dropped Linux capabilities;
- seccomp;
- bounded writable temporary storage where required;
- configuration through validated non-secret values;
- secret references without plaintext secret material;
- Service type and exposure;
- domain and certificate boundary;
- startup, readiness and liveness probes mapped to implemented API behavior;
- graceful termination;
- deployment progress deadline;
- rolling-update bounds;
- revision history;
- requests and limits;
- HPA metrics and stabilization;
- PDB compatibility;
- topology or anti-affinity only if justified by the approved cluster;
- EKS Pod Identity versus IRSA;
- service-account trust;
- least-privilege AWS permissions;
- Kubernetes RBAC;
- default-deny ingress and egress;
- DNS allowance;
- approved AWS endpoint/service flows;
- retrieval, model, telemetry and secret-retrieval flows;
- denial behavior;
- rollback to a prior approved digest;
- evidence and cleanup.
Do not add a service mesh, GitOps controller, public ingress, external autoscaler, extra database, new model, new vector store or observability platform under W6-001 unless the tracker or a separate owner decision explicitly requires it.
W6-002 owns the observability-platform, alerting, SLO, runbook and chaos implementation. W6-001 may expose and connect existing telemetry interfaces but must not absorb W6-002.
W6-003 owns final end-to-end proof, final release rollback, handover and final teardown. W6-001 must provide compatible deployment and rollback controls but must not claim W6-003 completion.
### 6. Workload-identity decision
Compare EKS Pod Identity and IRSA against the actual repository and AWS baseline.
For each option report:
- required EKS capability;
- Terraform/IAM impact;
- trust-policy shape;
- namespace/service-account binding;
- SDK compatibility;
- auditability;
- portability;
- rollback;
- test approach;
- security risks;
- whether infrastructure currently exists to support it.
Recommend one option, but do not select it on behalf of the owner.
Static access keys are prohibited.
### 7. Network-flow matrix
Return a precise proposed flow matrix containing:
- source workload;
- destination;
- protocol and port;
- purpose;
- DNS requirement;
- authentication;
- encryption;
- NetworkPolicy treatment;
- AWS endpoint or public-network dependency;
- failure behavior.
Include only flows required by the current implementation, such as:
- ingress to the API;
- DNS;
- Bedrock runtime;
- Secrets Manager;
- KMS where directly required;
- ECR image pull boundaries where applicable;
- CloudWatch/OTel export if already required;
- approved retrieval backend;
- Kubernetes API only if required.
Separate pod traffic from node/control-plane/image-pull traffic. Do not assume NetworkPolicy controls traffic outside its actual enforcement boundary.
### 8. Exact change manifest
Return a complete proposed manifest:
```text
CREATE
UPDATE
DELETE
VERIFIED UNCHANGED
EXCLUDED
```
For each CREATE or UPDATE include:
- exact path;
- current status;
- current SHA-256 for an existing path;
- purpose;
- producer and consumers;
- relevant tracker acceptance criterion;
- tests affected.
The manifest must include every direct and indirect consumer required for a coherent change:
- manifests or Helm templates;
- schemas;
- configuration;
- policy rules;
- validators;
- fixtures;
- unit, contract, integration, feature and security tests;
- CI or Make entry points where justified;
- feature-matrix references where implementation traceability requires them.
Do not include documentation, evidence, tracker edits or unrelated cleanup in Column L.
No DELETE is permitted unless Gate 1 proves it is necessary and the owner later approves it explicitly.
### 9. Schema and identity contracts
Define exact contracts for:
- image repository and digest;
- image scan identity;
- SBOM identity;
- provenance identity;
- namespace;
- service-account name;
- workload-role ARN;
- cluster identity;
- AWS account and Region;
- runtime configuration;
- secret references;
- domain/certificate;
- container port;
- probe paths;
- resource quantities;
- replica bounds;
- HPA metrics;
- PDB rules;
- rollout and rollback revision;
- evidence identity.
Specify:
- required fields;
- validation rules;
- canonical serialization where applicable;
- immutable versus mutable values;
- placeholder rejection;
- duplicate and conflicting-input rejection;
- failure behavior;
- producer and consumer for each field.
### 10. Security, privacy and compliance analysis
Cover:
- container image provenance;
- vulnerability status;
- runtime user and filesystem security;
- Linux capabilities and seccomp;
- Kubernetes RBAC;
- AWS least privilege;
- service-account token behavior;
- static credential prevention;
- secrets handling;
- tenant and authorization preservation;
- network isolation;
- TLS;
- admission/policy enforcement;
- audit-safe metadata;
- telemetry redaction;
- synthetic/non-sensitive data restriction;
- denial before retrieval/action;
- rollback authorization;
- cluster-admin and namespace-admin boundaries;
- evidence protection.
Preserve the existing rule that raw prompts, documents, answers, evidence, tool payloads, secrets and credentials must not be exported as telemetry or written into evidence.
### 11. Reliability and failure analysis
Evaluate:
- image-pull failure;
- wrong digest;
- missing secret;
- invalid workload identity;
- denied AWS request;
- failed startup;
- failed readiness;
- hung liveness path;
- rollout timeout;
- insufficient cluster capacity;
- HPA metric absence;
- PDB deadlock;
- node loss;
- network-policy overblocking;
- network-policy underblocking;
- dependency timeout;
- partial rollout;
- rollback failure;
- evidence failure;
- cleanup residue.
For each, identify detection, safe behavior, owner action, rollback and evidence.
### 12. Test and validation design
Design, but do not execute, the complete owner-led TEST-001 sequence.
Derive exact commands from current repository configuration during Gate 1. Do not paste generic commands as though verified.
The validation design must include, where applicable:
1. repository and working-tree preflight;
2. protected-boundary and W5 baseline verification;
3. manifest or Helm structured parsing;
4. deterministic rendering;
5. schema validation;
6. immutable-digest enforcement;
7. secret-literal rejection;
8. pod-security validation;
9. workload-identity and RBAC tests;
10. NetworkPolicy positive and negative tests;
11. probe-contract tests against the implemented API;
12. resources, HPA, PDB and rollout-policy tests;
13. OPA/Rego;
14. Checkov and other configured IaC/Kubernetes policy scanners;
15. focused unit, contract, integration, feature and security tests;
16. Ruff check and format check;
17. Windows MyPy over the repository-configured source scope;
18. Terraform formatting and validation for any separately approved infrastructure impact;
19. pre-commit with the established owner-only baseline procedure;
20. complete cache-safe Python suite after all final source changes;
21. image build and exact identity verification;
22. Trivy and Grype against the exact image;
23. Syft SPDX and CycloneDX against the same image;
24. provenance reconciliation;
25. owner-approved ECR publication;
26. server-side Kubernetes dry-run;
27. owner-approved sandbox deployment;
28. live workload-identity verification;
29. approved and denied network-flow verification;
30. health and rollout verification;
31. rollback to the previous immutable digest;
32. post-rollback validation;
33. namespace/workload cleanup;
34. native AWS and Kubernetes residue verification.
Tests must use deterministic local validation by default. Docker, registry, AWS, EKS and live Kubernetes operations remain owner-executed, opt-in and separately authorized.
The complete Python suite must be rerun after the final W5 and W6 source state because the final W5 tree lacks a recorded complete green run after its last KMS/OPA changes.
### 13. Owner execution and deployment sequence
Return the complete proposed owner sequence, one future command at a time, with approval boundaries clearly separated:
1. Close or explicitly defer unresolved W5 dependency gates.
2. Verify KMS deletion-tail outcome and delayed W5 cost evidence.
3. Validate the final Week 1–5 source tree.
4. Confirm EKS/ECR prerequisites.
5. Complete W6-01 immutable image promotion.
6. Review W6-001 Column L implementation.
7. Run local/offline TEST-001.
8. Review exact image scan, SBOM and provenance.
9. Approve registry publication.
10. Verify published digest.
11. Perform Kubernetes server-side dry-run.
12. Review live deployment inputs and cost exposure.
13. Approve deployment separately.
14. Deploy exact immutable digest.
15. Verify health, identity, RBAC and network controls.
16. Verify resilience and rollout behavior.
17. Perform separately approved release rollback.
18. Verify restored digest and health.
19. Preserve evidence.
20. Clean up only through separately reviewed teardown.
For every future command, Codex must state:
- purpose;
- prerequisites;
- expected result;
- access and identity;
- network/privacy/cost impact;
- evidence;
- stop condition;
- rollback or cleanup.
Codex must issue one exact command at a time and wait for complete owner output.
### 14. Cost and resource impact
Identify, without making live pricing requests:
- EKS control-plane cost;
- compute/node or Fargate cost;
- load-balancer cost;
- NAT or endpoint/data-transfer cost;
- ECR storage and transfer;
- CloudWatch or telemetry cost;
- KMS and Secrets Manager requests;
- certificate and DNS cost where applicable;
- retained resources;
- minimum billing periods;
- teardown tails.
Do not reuse the W5 USD 3 waiver or assume it automatically authorizes W6.
Ask the owner for a new W6 cost ceiling, operating duration and retained-tail decision.
An unpriced or unbounded material cost remains BLOCKED unless the owner explicitly accepts the risk through the applicable approval gate.
### 15. Rollback, teardown and residue
Keep these concepts separate:
- application release rollback;
- Kubernetes workload removal;
- infrastructure rollback;
- platform destroy;
- bootstrap/state destroy;
- native AWS and Kubernetes residue verification.
Define:
- last-known-good immutable digest;
- rollback trigger;
- rollback approval;
- rollout-history evidence;
- post-rollback health and security verification;
- namespace cleanup;
- load-balancer and volume cleanup;
- identity-association cleanup;
- ECR retention;
- IAM cleanup;
- DNS/certificate cleanup;
- cluster and node cleanup where separately governed;
- final cost-bearing-resource verification.
Do not treat Terraform destroy, namespace deletion or cluster deletion as ordinary application rollback.
### 16. Documentation impact for later Column M
Identify the exact proposed documentation manifest, but do not edit it.
At minimum reconcile the later need for:
- `docs/test-evidence/W6-02-k8s.txt`
- `docs/test-evidence/W6-03-identity.txt`
- `docs/test-evidence/W6-04-network.txt`
- `docs/test-evidence/W6-05-resilience.txt`
Also identify any required deployment, rollback, ADR, feature, architecture or evidence-index document by inspecting existing repository conventions. Label absent paths as proposed.
Column M may document only actual owner-executed results. Column N supplies final owner approval and complete closure. Only the owner updates the tracker.
### 17. Owner decisions — ask once
Return one consolidated decision table covering every unresolved choice, including:
- W5-14 closure or explicit deferral;
- complete-suite validation gap;
- KMS deletion-tail verification;
- delayed W5 billing reconciliation;
- EKS infrastructure availability or recreation;
- cluster name and version;
- namespace;
- compute model and capacity;
- ECR repository recreation;
- exact image digest;
- domain and certificate;
- public, private or no ingress;
- Service type;
- EKS Pod Identity or IRSA;
- workload role and permission boundary;
- retrieval backend for the W6 sandbox;
- secret references;
- approved network flows;
- resource requests and limits;
- replica count;
- HPA metrics and bounds;
- PDB;
- rollout parameters;
- last-known-good digest;
- rollback trigger;
- deployment window;
- W6 cost ceiling;
- operating duration;
- retained-resource disposition;
- teardown scope;
- live-test permissions.
For each decision provide:
- recommended option;
- alternatives;
- business consequence;
- security/reliability/cost trade-off;
- default safe behavior if no decision is supplied.
Do not make owner decisions implicitly.
### 18. Learning outcome
Include:
- business explanation;
- technical deep dive;
- layman analogy;
- architecture position;
- key decisions and trade-offs;
- failure and rollback story;
- at least five interview questions with concise answer points.
The explanation must connect:
```text
Weeks 1–4 verified application
→ Week 5 governed infrastructure and supply chain
→ W6-01 immutable artifact promotion
→ W6-001 controlled EKS runtime
→ W6-002 operations and SRE
→ W6-003 final proof, rollback, teardown and handover
```
## NON-NEGOTIABLE CONTROLS
- The owner executes all commands.
- The owner approves all cloud mutations.
- No static AWS credentials.
- No plaintext secrets.
- No mutable image tag as deployment authority.
- No unreviewed public exposure.
- No cluster-admin grant to the workload.
- No silent network-policy broadening.
- No unbounded replicas, retries or runtime resources.
- No production claim from sandbox evidence.
- No reuse of an expired or unrelated approval.
- No inherited W5 cost waiver for W6.
- No source edit before Column L.
- No documentation edit before Column M.
- No final approval before Column N.
- No tracker edit by Codex.
- No Git mutation.
- No cleanup of the current W5 working tree.
- No historical evidence rewrite.
- No automatic deployment, rollback or teardown.
## REQUIRED END STATE
Return:
1. complete Gate 1 analysis;
2. exact proposed Column L manifest;
3. verified unchanged and excluded paths;
4. prerequisite and dependency status;
5. consolidated owner decisions;
6. complete TEST-001 design;
7. deployment, rollback and cleanup design;
8. later Column M document manifest;
9. Week 6 learning package.
If the repository baseline and prerequisites are sufficiently established, end exactly:
`READY FOR PRE-EDIT REVIEW — W6-001`
If an upstream dependency prevents a truthful edit plan, end:
`BLOCKED — W6-001 PREREQUISITES INCOMPLETE`
Do not edit or execute anything.</t>
  </si>
  <si>
    <t>COLUMN M — W6-001 DOCUMENTATION EDIT APPROVAL
Immutable EKS Application Deployment
Gate 3 / Owner-Result Documentation
Version 1.3.5
APPROVAL PURPOSE
Approve documentation of the completed W6-001 implementation and owner-executed local TEST-001 results.
This approval covers only the exact six-document manifest below. It does not authorize source code, configuration, policy, schema, test, tracker, architecture-image, Git, cloud, container, registry, Kubernetes, deployment, rollback, teardown, or infrastructure changes.
AUTHORITATIVE BASELINE
Repository:
E:\AI\enterprise_ai_platform
Branch:
main
Approved source identity:
cb02ddb58d18b7798dda3ce264eacfeb9533fa1d
Upstream:
origin/main
Ahead/behind:
0/0
Owner-confirmed tracker baseline:
1b1224dbbb1d2f58fbd0c320cd7a7c96a540293c762ae0ccd50709d3036c3da7
Protected architecture-image baseline:
0b2ed3ad26d09535b7c807ea3041c251a0109ea65bffda94cc9e26b30700a7c4
Final local test result:
PASS
Complete pytest result:
2052 passed, 7 skipped, 4 deselected, 1 dependency deprecation warning
Final identity verification:
TEST_001_28R_RESULT=PASS
Final zero-residue verification:
TEST_001_29_RESULT=PASS
Repository residue:
0
External test residue:
0
Staged paths:
0
Kubernetes source files:
8
Rendered Kubernetes objects:
8
YAML documents:
9
Artifact classification:
SOURCE TEMPLATE VALID — NOT DEPLOYABLE
Unresolved image sentinel:
enterprise-ai.invalid/w6-001:OWNER_BINDING_REQUIRED
COLUMN M APPROVED DOCUMENT MANIFEST
CREATE:
1. docs/test-evidence/W6-001.md
   Purpose: Consolidated W6-001 implementation, remediation, validation, limitation, and handoff record.
2. docs/test-evidence/W6-02-k8s.txt
   Purpose: Kubernetes manifest and immutable release-template evidence.
3. docs/test-evidence/W6-03-identity.txt
   Purpose: Kubernetes service-account, AWS identity-boundary, and RBAC evidence.
4. docs/test-evidence/W6-04-network.txt
   Purpose: Kubernetes NetworkPolicy and network-boundary evidence.
5. docs/test-evidence/W6-05-resilience.txt
   Purpose: Replica, resource, probe, autoscaling, disruption, rollout, rollback-readiness, and resilience evidence.
UPDATE:
6. docs/test-evidence/README.md
   Purpose: Add the W6-001 summary and W6-02 through W6-05 evidence records to the evidence index.
DELETE:
None.
PRE-EDIT BASELINE AND DRIFT GATE
Before editing:
1. Re-read all six approved paths and their parent directory.
2. Confirm that the five CREATE paths do not already exist.
3. Confirm that docs/test-evidence/README.md exists.
4. Confirm HEAD remains:
   cb02ddb58d18b7798dda3ce264eacfeb9533fa1d
5. Confirm the branch remains main with origin/main as upstream and ahead/behind 0/0.
6. Confirm there are no staged paths.
7. Confirm the tracker and protected architecture image still match their approved SHA-256 identities.
8. Confirm the final W6-001 implementation and test paths have not drifted from the owner-tested state.
9. Re-read existing repository evidence-document conventions before writing.
If any approved source, path, result, identity, or patch context has changed, make no edits and return exactly:
BLOCKED — BASELINE CHANGED
DOCUMENTATION RULES
1. Write only the six paths in the approved manifest.
2. Do not modify code, configuration, IaC, Kubernetes manifests, policies, schemas, automated tests, dependencies, generated evidence, the tracker, or the protected architecture image.
3. Do not run commands, tests, scanners, formatters, Git operations, Docker, registry, model, network, AWS, ECR, EKS, Kubernetes, deployment, rollback, or teardown actions.
4. Do not stage, commit, push, pull, fetch, merge, rebase, tag, or alter Git state.
5. Do not invent, extrapolate, silently reconcile, or upgrade an owner result.
6. Use PASS, FAIL, NOT RUN, or INDETERMINATE for every test or operational claim.
7. Preserve failed attempts and approved remediation history. Do not rewrite the record as though every test passed on its first execution.
8. Distinguish local static/template validation from live EKS evidence.
9. Do not claim that the template is deployable.
10. Do not record the sentinel image as a real container image.
11. Do not include credentials, tokens, account secrets, private endpoints, kubeconfig content, or other sensitive values.
12. Reference exact evidence already supplied by the owner; do not generate substitute evidence.
13. Mark Column N final approval as pending. Do not record Final Owner Approval.
14. Do not update the owner-controlled tracker.
15. Preserve business-first language and explain why each control matters.
REQUIRED CONTENT — docs/test-evidence/W6-001.md
Document:
- W6-001 business objective and architecture role.
- Relationship to W6-02 Kubernetes, W6-03 identity, W6-04 networking, and W6-05 resilience.
- Two-stage image-binding design:
  - source template validation;
  - owner-controlled release evidence;
  - digest-bound release rendering;
  - release-hash generation;
  - no mutable tag release.
- Exact source-template classification:
  SOURCE TEMPLATE VALID — NOT DEPLOYABLE
- Exact unresolved image sentinel.
- Final test sequence and classification for TEST-001-01 through TEST-001-29, including rerun identifiers where applicable.
- Final complete-suite result.
- Final identity and zero-residue results.
- Approved tracker and architecture-image identities.
- Final source identity and upstream status.
- Security, privacy, cost, and operational boundaries.
- Complete remediation history, including:
  - owner-approved tracker-baseline reconciliation;
  - unit-test error-contract correction;
  - stale feature-matrix consumer correction;
  - OPA regular-expression correction;
  - Checkov imagePullPolicy remediation;
  - Ruff lint and formatting remediation;
  - Windows MyPy cache-path issue and PyYAML typing remediation;
  - secret-baseline relocation reconciliation;
  - complete-suite basetemp, stale-consumer, and cache-residue remediation;
  - final protected-identity reconciliation.
- The dependency deprecation warning as non-blocking technical debt, without misclassifying it as a W6-001 failure.
- Explicit NOT RUN register for every live or external action.
- Separation of remaining W6-002 and W6-003 work.
- Separation of unresolved W5 KMS-tail or delayed-billing work.
- Rollback and teardown readiness without claiming that live rollback or teardown occurred.
- A “Column N Final Owner Approval” section marked:
  PENDING — NOT YET APPROVED
REQUIRED CONTENT — docs/test-evidence/W6-02-k8s.txt
Document:
- Eight approved Kubernetes source files.
- Nine YAML documents.
- Eight rendered Kubernetes objects.
- Deterministic render evidence.
- Source-template sentinel count and classification.
- Local validation, unit, contract, integration, feature, policy, and security evidence relevant to Kubernetes composition.
- Immutable digest-binding requirement.
- Source-template versus release-artifact distinction.
- Kubernetes security-context, resource, probe, service, autoscaling, disruption, and policy controls actually present in the tested baseline.
- Kubernetes server-side dry-run:
  NOT RUN
- EKS application deployment:
  NOT RUN
- Live workload health verification:
  NOT RUN
- A “Column N Final Owner Approval” section marked:
  PENDING — NOT YET APPROVED
REQUIRED CONTENT — docs/test-evidence/W6-03-identity.txt
Document:
- ServiceAccount:
  enterprise-ai-runtime
- Absence or presence of Kubernetes Role, RoleBinding, ClusterRole, and ClusterRoleBinding objects exactly as verified.
- The zero-unnecessary-Kubernetes-API-permission design.
- No static AWS credentials embedded in the Kubernetes source template.
- Intended EKS Pod Identity boundary, while distinguishing design intent from live proof.
- EKS Pod Identity agent/add-on verification:
  NOT RUN
- IAM role and trust-policy verification:
  NOT RUN
- Pod Identity association verification:
  NOT RUN
- Live pod AWS identity verification:
  NOT RUN
- Any unverified account, role, region, or association data must remain absent or explicitly INDETERMINATE.
- A “Column N Final Owner Approval” section marked:
  PENDING — NOT YET APPROVED
REQUIRED CONTENT — docs/test-evidence/W6-04-network.txt
Document:
- Default-deny ingress and egress posture.
- Bounded DNS egress policy.
- Internal service exposure and selector/port contract.
- Locally validated NetworkPolicy structure.
- The difference between Kubernetes NetworkPolicy validation and AWS/VPC enforcement.
- Live ingress verification:
  NOT RUN
- Live DNS-flow verification:
  NOT RUN
- Live allowed-egress verification:
  NOT RUN
- Live denied-egress verification:
  NOT RUN
- AWS endpoint, security-group, route, NAT, or FQDN enforcement proof:
  NOT RUN
- Do not claim runtime isolation from static policy evidence alone.
- A “Column N Final Owner Approval” section marked:
  PENDING — NOT YET APPROVED
REQUIRED CONTENT — docs/test-evidence/W6-05-resilience.txt
Document the tested configuration exactly, including:
- Deployment replicas: 2
- CPU request: 500m
- CPU limit: 1000m
- Memory request: 1Gi
- Memory limit: 2Gi
- Ephemeral-storage request: 256Mi
- Ephemeral-storage limit: 1Gi
- HPA minimum replicas: 2
- HPA maximum replicas: 4
- HPA CPU utilization target: 70
- PodDisruptionBudget minimum available: 1
- Rolling-update maxSurge: 1
- Rolling-update maxUnavailable: 0
- Progress deadline: 300 seconds
- Revision history limit: 3
- Startup, readiness, and liveness probe contracts.
- Local rollback-contract test result.
- Local teardown-cleanliness test result.
- Live metrics availability:
  NOT RUN
- Live HPA scaling:
  NOT RUN
- Live disruption or eviction:
  NOT RUN
- Live rollout:
  NOT RUN
- Live rollback:
  NOT RUN
- Live capacity or scheduling validation:
  NOT RUN
- Live teardown:
  NOT RUN
- A “Column N Final Owner Approval” section marked:
  PENDING — NOT YET APPROVED
REQUIRED CONTENT — docs/test-evidence/README.md
Update the existing index without replacing or restructuring unrelated historical entries.
Add links or index entries for:
- W6-001 consolidated evidence
- W6-02 Kubernetes evidence
- W6-03 identity evidence
- W6-04 network evidence
- W6-05 resilience evidence
The index must state:
- W6-001 local implementation and TEST-001 status: PASS
- Artifact status:
  SOURCE TEMPLATE VALID — NOT DEPLOYABLE
- Live AWS/ECR/EKS operations: NOT RUN
- Live deployment, rollback, and teardown: NOT RUN
- Column N final owner approval: PENDING
EXPLICITLY EXCLUDED FROM COLUMN M
- Source-code or test changes
- Kubernetes manifest changes
- OPA or Checkov policy changes
- Dependency changes
- Secret-baseline changes
- Tracker changes
- Architecture-image changes
- ADR creation or modification
- Deployment-record creation
- Rollback-record creation
- Learning-record creation
- Docker or container-image building
- Registry or ECR operations
- AWS or EKS access
- Kubernetes server-side dry-run
- Release binding using real W6-01 evidence
- Deployment, live verification, rollback, or teardown
- W6-002 implementation
- W6-003 implementation
- Resolution of remaining W5 work
- Any Git mutation
COMPLETION RESPONSE
After the six approved documentation edits, return the complete Column M Approved Document Manifest with one row per document containing:
- Operation: CREATE or UPDATE
- Exact path
- Purpose
- Result: UPDATED or BLOCKED
- Final SHA-256
- Byte count
- Confirmation that no paths outside the manifest changed
Also report:
- Created path count
- Updated path count
- Deleted path count
- Out-of-manifest path count
- Code/config/test path changes
- Tracker changes
- Architecture-image changes
- Git mutations
- Commands or tests run
- Column N approval status
Expected totals:
CREATED_PATH_COUNT=5
UPDATED_PATH_COUNT=1
DELETED_PATH_COUNT=0
OUT_OF_MANIFEST_PATH_COUNT=0
CODE_CONFIG_TEST_PATH_CHANGE_COUNT=0
TRACKER_CHANGE_COUNT=0
ARCHITECTURE_IMAGE_CHANGE_COUNT=0
GIT_MUTATION_COUNT=0
COMMAND_OR_TEST_RUN_COUNT=0
COLUMN_N_FINAL_OWNER_APPROVAL=PENDING
End exactly:
W6-001 COLUMN M DOCUMENTATION COMPLETE — READY FOR COLUMN N REVIEW</t>
  </si>
  <si>
    <t>Deployment-ready observability, SLO, alerting and failure-response controls</t>
  </si>
  <si>
    <t>Extend the approved telemetry foundation into locally validated SRE controls for W6-003 readiness proof and W6-004 live deployment.</t>
  </si>
  <si>
    <t>Final-approved W6-001; implemented W4 telemetry; approved OBS-001, SLO-001 and FIS-001 decisions; W6-004 requirements</t>
  </si>
  <si>
    <t>Approved observability/SRE code/configuration/tests; local SLO/alert/runbook/failure proof; exact W6-003 and W6-004 handover</t>
  </si>
  <si>
    <t>FOUR APPROVAL GATES PLUS OWNER TESTING AND WEEKLY LEARNING — TRACKER v1.3.5
MAIN PROMPT — W6-002
TASK IDENTITY
- Week: Week 6
- Feature/outcome: Deployment-ready observability, SLO, alerting and failure-response controls
- Business purpose: Extend the approved content-free telemetry foundation into locally validated, deployment-ready SRE controls that W6-003 can prove ready and W6-004 can deploy and verify live.
- Covered tracker steps: W6-06, W6-07, W6-08, W6-09
- Required inputs: final-approved W6-001 evidence; implemented W4 telemetry contracts; OBS-001, SLO-001 and FIS-001 owner decisions; W6-004 deployment and lifecycle requirements
- Expected outputs: approved observability/SRE code, configuration and automated tests; locally validated SLO/alert/runbook/failure-response contracts; exact W6-003 and W6-004 handover
- Task type: governed local implementation and deployment-readiness preparation
- Next approval position: exact bounded Code Edit Approval in Column L after Gate 1 resolves all producer/consumer, SLO, alert, retention, redaction, failure and ownership decisions
OWNER-CONTROLLED FIRST RESPONSE — GATE 1 READ-ONLY REVIEW ONLY
Inspect the repository and governing evidence read-only. Do not create, edit, delete, install, download, execute, test, lint, format, build, start, stop, deploy, contact a registry/cloud/model service, create an FIS experiment, remediate, roll back, tear down, edit Excel or mutate Git. Do not stage, commit or push. Never invent an owner decision or silently reconcile conflicting evidence.
This prompt implements deployment-ready controls only. CloudWatch/X-Ray, Prometheus/Grafana/Jaeger, EKS collector deployment, live alert routing, live failure injection and all AWS/EKS mutation are deferred to W6-004 and remain NOT RUN until owner evidence proves otherwise.
SOURCE PRECEDENCE
Apply, in order:
1. Enterprise AI Architecture Source of Truth v1.1.
2. Owner-approved ADRs and decision records.
3. Coaching Blueprint and approved learning records.
4. Tracker v1.3.5 and this W6-002 row.
5. Approved feature requirements, repository configuration and owner-executed evidence.
Preserve every PASS, FAIL, NOT RUN, INDETERMINATE, warning, risk, limitation, deferral and residual-resource fact. A local/static PASS never becomes a cloud, deployment or production PASS.
CURRENT IMPLEMENTATION BASELINE TO VERIFY
- W4-003 already implements strict content-free telemetry under schema w4-003.telemetry.v1 across API, authentication, authorization, guardrail, RAG, retrieval, embedding, vector search, LLM, agent, graph, approval and tool stages.
- Existing telemetry producers/consumers include src/enterprise_ai_platform/telemetry, application/API/RAG/retrieval/agent integration, typed configuration, bounded in-memory exporters/readers, trace correlation, redaction, rollback and cleanliness tests.
- configs/observability/otel-collector.local.yaml is a local loopback OTLP receiver with bounded batch processing and debug export. It is the deterministic local fallback and must not be overwritten by an unreviewed cloud-only configuration.
- Existing tests prove correlation, allowlisted low-cardinality attributes, content/credential/tenant redaction, exporter-safe failure, cancellation, exact-once owned-runtime shutdown and no local socket/file/thread/task residue where applicable.
- W6-001 implemented the Kubernetes source template, immutable release binder, restrictive workload security, default-deny/DNS-only networking, health probes, HPA/PDB and local rollback/cleanliness contracts. It remains SOURCE TEMPLATE VALID — NOT DEPLOYABLE.
- The W6-001 final local suite recorded 2052 passed, 7 skipped and 4 deselected with one retained dependency warning. This is the comparison baseline, not automatic W6-002 PASS.
- feature-matrix OBS-001 remains In Progress and currently links W3-09/W4-08. Gate 1 must reconcile W6-06 through W6-09 ownership and every direct/indirect consumer before editing it.
- observability/alerts.yml, docs/architecture/slo.md, runbooks/inference-latency.md, docs/test-evidence/W6-06-observability.json and docs/test-evidence/W6-09-chaos.txt were absent at this review and must be labelled PROPOSED until current inspection confirms otherwise.
- W5-004 proved infrastructure lifecycle controls but retained cost, KMS-tail and final-suite limitations. W6-002 may inherit its failure-prevention lessons but may not reuse plans or claim current AWS state.
- W6-004 now owns the complete live flow: full AWS infrastructure/services, telemetry deployment, live tests, rollback, teardown and residue/cost verification.
IMPLEMENTATION SCOPE
1. Telemetry contract extension
- Extend, version or adapt the existing telemetry schema only after tracing every producer and consumer. Preserve backwards compatibility or define an explicit migration with negative tests.
- Keep attributes content-free, low-cardinality, bounded and allowlisted. Never export prompts, answers, evidence text, tool arguments, credentials, raw exception messages, subject IDs, tenant IDs, approval IDs or unrestricted resource identifiers.
- Correlate request, trace and safe operation identities without exposing raw protected identifiers.
- Ensure exporter failure, saturation or backpressure cannot break, duplicate or indefinitely delay the core answer path.
2. Deployment-ready collector/export path
- Preserve the local debug collector configuration.
- Propose exact deployment-ready collector configuration for CloudWatch/X-Ray and the approved Prometheus/Grafana/Jaeger option only after inspecting current dependencies and Kubernetes consumers.
- Define queue, batch, memory, retry, timeout, health, readiness, shutdown and backpressure behavior.
- Define required private endpoints, Pod Identity/IAM permissions, network flows, encryption, retention and redaction as inputs for W6-004. Do not deploy or contact those services here.
3. SLIs, SLOs and error budget
- Define exact event populations, numerators, denominators, windows, exclusions, minimum traffic, missing-data behavior and evaluation cadence.
- Cover availability, end-to-end p95/p99 latency, retrieval latency, grounded/citation quality, safe abstention, isolation/safety, errors, throttles, dependency failures and bounded token/cost rate.
- Treat 99.9% availability, p95 under 4 seconds, p99 under 10 seconds, retrieval p99 under 750 ms, grounded at least 95%, and isolation/safety at 100% as owner-review proposals until SLO-001 explicitly approves them.
- Define error-budget policy and release consequences. No local sample can prove a production SLO.
4. Alerts and dashboards
- Create or update exact alert-rule and dashboard paths only after Gate 1 confirms names and consumers.
- Validate synthetic firing and non-firing series, multi-window burn behavior, missing telemetry, low traffic, duplicate alerts and recovery.
- Every alert must identify owner, severity, runbook, evidence, silence/disable approval and safe rollback action.
- Include application, OpenSearch, Bedrock, EKS, Pod Identity, collector/export, rollout/rollback, teardown/residue and cost-risk signals required by W6-004.
5. Inference-latency runbook
- Cover detect → assess impact → stabilize → isolate API/retrieval/OpenSearch/embedding/Bedrock/queue/export stage → mitigate or roll back → recover → verify → learn.
- Distinguish safe refusal/fallback from silent provider switching. Define evidence, escalation, decision owner, rollback trigger and cleanup.
- Rehearse as a local tabletop under owner review; do not claim live incident or cloud recovery.
6. Bounded failure contracts
- Retain local Qdrant-stop and injected LLM-timeout scenarios as deterministic provider-neutral checks where current consumers still use them.
- Add provider-neutral OpenSearch unavailable/timeout, Bedrock timeout/throttle, telemetry exporter outage/backpressure, alert firing/non-firing, readiness failure and retry-storm prevention contracts.
- Restore every local dependency/configuration and prove zero residue.
- Produce an AWS FIS plan only: tag-scoped targets, IAM, blast-radius limits, stop alarms, abort/recovery, expiry and cost estimate. Do not create or execute an experiment.
7. Handover boundaries
- W6-003 consumes the completed local telemetry, SLO, alert, runbook and failure-response contracts for integrated readiness proof.
- W6-004 consumes the exact collector/export, endpoint, IAM/Pod Identity, retention, alert destination, FIS and live-test requirements for deployment and owner-executed verification.
- No W6-002 result may state that CloudWatch/X-Ray, EKS collectors, dashboards, alerts or FIS were deployed or observed live.
GATE 1 REQUIRED READ-ONLY RESPONSE
1. Business outcome and measurable acceptance
Define local implementation acceptance, deployment-readiness acceptance, exclusions and the exact evidence needed before W6-003 or W6-004 may consume the outputs.
2. Governing baseline and status reconciliation
Report repository identity/status; final W4 telemetry and W6-001 evidence; OBS-001 feature ownership; existing configs/tests/dependencies; proposed/absent paths; accepted warnings; W5 lifecycle constraints; and all live/cloud NOT RUN items.
3. Complete producer-consumer matrix
Trace telemetry models/runtime through Settings, app construction, API, RAG, retrieval, LLM, agent, approval, tests, collector configs, Kubernetes, CI, feature matrix, validation tooling and future W6-003/W6-004 consumers. Name exact symbols and paths; never guess.
4. Function and connection map
Map local span/log/metric creation, filtering, buffering, export, errors, shutdown and ownership. Separately map proposed OTLP → collector → CloudWatch/X-Ray/Prometheus-compatible paths, network/IAM boundaries and failure isolation without executing them.
5. Exact path manifest
Return CREATE, UPDATE, DELETE, VERIFIED UNCHANGED CONSUMERS, DEFERRED and EXCLUDED paths with exact symbols/sections. Absent paths remain PROPOSED. No wildcard or directory-only approval.
6. Schema and fixture analysis
Define telemetry/SLO/alert/dashboard/FIS/runbook schemas, ordering, versions, immutable collections, validators, fixtures, safe labels and malformed/missing/duplicate/unexpected rejection cases.
7. Dependency/runtime API analysis
Verify actual OpenTelemetry, Prometheus-rule validation, collector, AWS exporter and repository tool APIs/versions. Identify optional/lazy dependencies, downloads, caches and W6-004 network requirements. Do not install or contact services.
8. Concurrency/cancellation/failure analysis
Cover buffer limits, queue saturation, exporter timeout/retry, cancellation, flush/shutdown ownership, duplicate observations, missing telemetry, clock/window behavior and partial failure. Telemetry must remain non-blocking and fail safely.
9. Automated-test design
List exact focused, consumer, contract, integration, feature, security, rollback, teardown and full-suite tests. Include redaction, cardinality, correlation, synthetic alerts, exporter outage, readiness, retry storm, fallback/refusal, restoration and zero residue. Separate local fakes from W6-004 live checks.
10. Owner TEST-001 plan
Provide one cache-safe command at a time for focused tests, schema/rule validation, security, rollback, teardown, lint, formatting, typing, policy/feature validation and the complete current suite. For each state purpose, expected result, privacy/cost/access impact and stop condition. No deployment command belongs to W6-002.
11. Security, privacy, reliability and cost
Cover secret/content exclusion, tenant/privacy safety, data residency, least privilege, private endpoints, telemetry retention, cardinality/cost, exporter resilience and retained local artifacts. Local CPU/disk/network and owner time are not USD 0.
12. Consolidated owner decisions and learning
Ask all unresolved OBS-001, SLO-001 and FIS-001 decisions together: alert destination/on-call, retention/redaction, SLI definitions/windows/exclusions, targets, error-budget/burn policy, dashboard ownership, exporter choices, private endpoints, FIS targets/stop alarms, rehearsal scope, cost and retention. Include recommendations, alternatives, trade-offs and five interview questions.
APPROVAL AND EXECUTION RULES
- Gate 1 is read-only.
- Gate 2 begins only after an exact Code Edit Approval. Re-read all approved paths/consumers; drift returns BLOCKED — BASELINE CHANGED.
- Codex writes only approved code/configuration/schema/policy/automated-test paths and runs nothing.
- TEST-001 is owner-executed one command at a time. Failure triggers a complete read-only producer/consumer/root-cause/gate audit and one consolidated remediation approval; no automatic fix.
- Gate 3 writes only the exact documentation manifest after owner results.
- Gate 4 closes every manifest document together.
- Cloud deployment and live failure exercises remain deferred to W6-004.
- Only the owner updates Excel and mutates Git.
End exactly: READY FOR PRE-EDIT REVIEW — W6-002.</t>
  </si>
  <si>
    <t>Gate 1 impact review → Gate 2 exact Code Edit → owner local TEST-001 → Gate 3 Column M manifest → Gate 4 Column N closure → W6-003 readiness consumption → W6-004 live deployment</t>
  </si>
  <si>
    <t>Owner approval required after complete telemetry/SLO/alert/failure and consumer review</t>
  </si>
  <si>
    <t>W6-06, W6-07, W6-08, W6-09; live deployment deferred to W6-004</t>
  </si>
  <si>
    <t>Pre-deployment integrated readiness proof, local rollback rehearsal and W6-004 handover</t>
  </si>
  <si>
    <t>Prove the Week 1–W6-002 platform locally, define known-good rollback targets and deliver the exact evidence-bound W6-004 handover.</t>
  </si>
  <si>
    <t>Final-approved Week 1–W6-002 evidence; current repository baseline; approved local test boundary; W6-004 input contract</t>
  </si>
  <si>
    <t>Approved readiness code/configuration/tests; owner local proof; immutable readiness manifest; local rollback rehearsal; W6-004 handover and teach-back</t>
  </si>
  <si>
    <t>FOUR APPROVAL GATES PLUS OWNER TESTING AND WEEKLY LEARNING — TRACKER v1.3.5
MAIN PROMPT — W6-003
TASK IDENTITY
- Week: Week 6
- Feature/outcome: Pre-deployment integrated readiness proof, local rollback rehearsal and W6-004 handover
- Business purpose: Reconcile and locally prove the complete Week 1–W6-002 platform baseline, prepare independently known-good application/infrastructure rollback targets, and deliver an exact evidence-bound handover for the full live lifecycle in W6-004.
- Covered tracker steps: pre-deployment phases of W6-10, W6-11 and W6-13
- Required inputs: final-approved Week 1–Week 5 evidence; final-approved W6-001 and W6-002 evidence; current repository baseline; W6-004 input contract
- Expected outputs: approved readiness/evidence code, configuration and automated tests; complete local owner proof; immutable readiness manifest; local rollback rehearsal; W6-004 execution handover and owner teach-back
- Task type: governed local integration/readiness and handover
- Next approval position: exact bounded Code Edit Approval in Column L after Gate 1 reconciles all historical evidence, producers/consumers, readiness gates and W6-004 inputs
OWNER-CONTROLLED FIRST RESPONSE — GATE 1 READ-ONLY REVIEW ONLY
Inspect repository and governing records read-only. Do not create, edit, delete, install, download, execute, test, lint, format, build, start, stop, contact AWS/ECR/EKS/model/registry services, deploy, remediate, roll back live infrastructure, tear down, edit Excel or mutate Git. Do not stage, commit or push. Never invent an owner decision or silently reconcile conflicts.
TASK-SPECIFIC PRECEDENCE AMENDMENT
The underlying W6-10/W6-11 historical tracker wording mentions a sandbox query and safe sandbox regression. After owner creation of W6-004, W6-003 owns only their local/pre-deployment phases. Live sandbox/AWS/EKS queries, image deployment, regression, application rollback, infrastructure rollback, teardown, native residue and actual-cost checks are deferred to W6-004. W6-003 must not perform or claim them.
SOURCE PRECEDENCE
Apply Source of Truth v1.1, owner-approved ADRs/decisions, Coaching Blueprint/learning, tracker v1.3.5 including the later W6-004 boundary, then approved requirements/repository/evidence. Later owner-approved W6-004 scope resolves execution sequencing but does not rewrite historical results. Preserve PASS, FAIL, NOT RUN, INDETERMINATE, warnings, accepted risks, limitations, deferrals and residuals.
IMPLEMENTED BASELINE TO VERIFY
- Week 1 provides source precedence, repository/feature/evidence controls, typed configuration, deterministic tests, lifecycle command boundaries, secret scanning and cleanup verification.
- Week 2 provides provider-neutral retrieval models/adapters, local Qdrant, embedding/ingestion, tenant/classification authorization, deterministic retrieval and local rollback/teardown evidence. Real OpenSearch remains distinct.
- Week 3 provides cited RAG, evaluation, guardrails, prompt/model/retriever/index configuration rollback and local telemetry. Historical live model limits and evidence results remain as recorded.
- Week 4 provides FastAPI/auth boundaries, bounded agent/human approval, budgets, durable redacted state, strict content-free telemetry and local immutable release rollback. These local contracts are direct W6-003 producers.
- Week 5 provides Terraform/policy/supply-chain/lifecycle controls plus historical full sandbox deployment, partial-apply recovery, targeted rollback and platform/bootstrap teardown evidence. Historical plans are not reusable, cost remained accepted risk rather than PASS, KMS/billing follow-up and final-suite limitations must remain visible.
- W6-001 provides a secure Kubernetes source template and release binder. It closed SOURCE TEMPLATE VALID — NOT DEPLOYABLE; release binding and every live operation remained NOT RUN.
- W6-001 final local baseline recorded 2052 passed, 7 skipped and 4 deselected with one retained dependency warning.
- W6-002 must provide final-approved deployment-ready telemetry/SLO/alert/runbook/failure-response contracts. If W6-002 is not closed, W6-003 blocks.
- W6-004 owns the mandatory full live flow from bootstrap/state through residue/cost verification.
W6-003 IMPLEMENTATION AND PROOF SCOPE
1. Complete baseline and evidence reconciliation
- Reconcile every implemented feature, source/evidence identity, ADR, warning, failure/remediation, test result, deferred live integration, retained resource and owner decision from Week 1 through W6-002.
- Detect stale tracker status without editing it. Never convert local/fake/static evidence into real/cloud evidence.
2. Current repository validation
- Define one current, repository-configured local validation sequence covering exact quality scopes: dependency/configuration contracts, unit, contract, integration, feature, smoke where local, security, rollback, teardown, policy, Terraform static validation, Kubernetes static validation, supply-chain contracts, lint, formatting, typing, secret scan and pre-commit.
- Resolve no failure automatically. Any FAIL triggers complete read-only root-cause/consumer/gate review and one consolidated remediation approval.
- The final full suite must be run after all approved W6-002/W6-003 source edits; earlier pass counts are comparison evidence only.
3. Local integrated application proof
- Exercise FastAPI, authentication/authorization, cited RAG, retrieval/embedding fakes or owner-approved local providers, guardrails, evaluation, agent/human approval, budgets, durable-state boundaries and telemetry correlation using synthetic non-sensitive data.
- Local Qdrant may be used only under the existing owner-controlled local lifecycle. Validate the OpenSearch adapter contract without claiming live OpenSearch.
- Verify safe abstention, citation, tenant/classification isolation, denied access, timeout, cancellation, retry bounds and redacted evidence.
4. SRE/readiness integration
- Validate W6-002 telemetry schemas, collector configs, SLO/alert rules, runbook and bounded failure-response contracts against the application composition.
- Exercise only local synthetic alert and dependency-failure scenarios. Restore all local state and prove zero residue.
- Cloud exporters, live alerts and FIS remain NOT RUN.
5. Infrastructure, policy and supply-chain readiness
- Validate Terraform configuration/module contracts, OPA/Checkov/TFLint policy scopes, lifecycle schemas, single-use plan protections, partial-apply recovery contracts, cost fail-closed behavior, rollback/destroy separation and cleanliness logic without creating a live plan or contacting AWS.
- Validate Kubernetes source composition, policy, immutable digest binding contract, server-side-admission inputs, rollback identity and teardown cleanliness without contacting a cluster.
- Validate image-build definitions, scanner/SBOM/provenance contracts and CI composition without building, scanning, pushing or publishing a real candidate unless separately moved to W6-004 owner execution.
6. Local rollback rehearsal and known-good definitions
- Rehearse the existing local W4 release rollback using exact known-good and synthetic-regression fixtures; verify trigger, blocked failed version, restored identity, smoke/evaluation/security and zero residue.
- Validate W6-001 previous-digest rollback contracts without executing Kubernetes rollback.
- Define an independently approved last-known-good application release identity required by W6-004.
- Define the independently approved last-known-good infrastructure contract required by W6-004: source/input/backend/provider identities, state lineage/serial expectations, policy/cost gates and restore acceptance. Do not generate or apply a live rollback plan here.
- Rollback rehearsal is not deployment rollback and must be documented as local.
7. W6-004 readiness manifest
- Produce a closed, immutable, redacted handover contract only at an owner-approved exact path discovered during Gate 1.
- Include current source/test identities; completed feature/evidence index; unresolved warnings/risks; proposed image-build inputs; required release evidence; bootstrap/platform discovery prerequisites; account/Region/environment decisions; runtime/data/service dependencies; observability/SLO inputs; known-good application/infrastructure definitions; deployment/live-test/rollback/teardown requirements; cost ceilings; expected residual classes; expiry and approval requirements.
- Do not include credentials, live plan bytes or invented cloud identities.
8. Owner handover and teach-back
- Prepare the pre-deployment architecture review: business value, all components, data/control/trust flow, provider-neutral versus AWS realization, security/privacy, testing, failure handling, two rollback layers, teardown and W6-004 lifecycle.
- W6-003 may close only as READY FOR W6-004 GATE 1, never as deployed, production-ready, live-rollback-proven or teardown-complete.
- Actual-outcome final architecture review occurs after W6-004 live evidence; W6-003 records the pre-deployment handover and remaining NOT RUN work.
EXPLICITLY DEFERRED TO W6-004
- Fresh AWS/bootstrap/platform discovery, plans, apply and verification.
- Docker image build/recovery, live scanner databases, SBOM/provenance creation and ECR publication.
- W6-001 Stage B binding with real image evidence.
- Kubernetes server-side dry-run and EKS deployment.
- Live sandbox cited query, real OpenSearch/Bedrock/application flow and SRE evidence.
- Safe live regression, application rollback and infrastructure rollback.
- Platform destroy, bootstrap destroy, native residue, KMS-tail and delayed-cost verification.
GATE 1 REQUIRED READ-ONLY RESPONSE
1. Business/readiness outcome
Define local integrated proof, readiness-manifest acceptance, W6-004 entry criteria and prohibited live claims.
2. Week 1–W6-002 evidence reconciliation
Return an exact table of feature, implementation paths, latest owner result, warning/gap, live/fake/static classification, rollback/teardown status and W6-003/W6-004 consequence.
3. Producer-consumer/function map
Trace API/auth/RAG/retrieval/embedding/LLM/agent/state/telemetry/evaluation through local tests, Terraform/policy/supply-chain, Kubernetes/release and W6-004 handover consumers. Name exact symbols and paths.
4. Exact change boundary
Return CREATE, UPDATE, DELETE, VERIFIED UNCHANGED, GENERATED LOCAL OUTPUTS, RETAINED, DEFERRED and EXCLUDED paths. Never guess readiness/evidence filenames; absent paths are PROPOSED.
5. Readiness and identity schemas
Define the local proof, known-good application, known-good infrastructure and W6-004 handover schemas, canonicalization, hashes, versions, timestamps/expiry, redaction and fail-closed validation.
6. Dependency/runtime API review
Verify current repository versions/APIs and exact configured pytest/Ruff/MyPy/policy scopes. Identify optional/local services, caches and owner-only network actions. No install/download occurs at Gate 1.
7. Concurrency/failure analysis
Cover local service startup/shutdown, event loops/threads, cancellation, retries, duplicate execution, partial local state, telemetry failure, evaluation failure, rollback failure and residue.
8. Complete automated-test design
List exact focused/direct/indirect/contract/integration/feature/smoke/security/rollback/teardown/full-suite cases and distinguish deterministic fake/local from W6-004 real/cloud checks.
9. Owner TEST-001 sequence
Provide one exact cache-safe local command at a time with purpose, expected result, access/privacy/cost impact and stop condition. Include setup and cleanup for approved local services. Exclude AWS, ECR, EKS, live deployment, live rollback and cloud teardown commands.
10. Security/privacy/cost and residue
Cover synthetic data, tenant/classification authorization, secret/content redaction, provenance, local storage/cache/network cost, retained evidence and zero local residue. Do not claim USD 0 for owner resources.
11. W6-004 handover and stop gate
List every required W6-004 input, decision, approval, expiry, known-good identity, cost bound and NOT RUN activity. Any missing critical input blocks readiness closure.
12. Owner decisions and learning
Ask one consolidated set for local providers/services, readiness-manifest path/schema, known-good application/infrastructure definitions, retained artifacts, accepted warning/gaps and teach-back acceptance. Include recommendations, alternatives, trade-offs and interview questions.
APPROVAL AND EXECUTION RULES
- Gate 1 is read-only.
- Gate 2 writes only exact approved code/configuration/schema/policy/automated-test paths after baseline revalidation.
- TEST-001 is owner-executed one local command at a time; no automatic remediation.
- Gate 3 documents only exact approved owner results.
- Gate 4 closes all manifest documents together.
- W6-003 completion authorizes only W6-004 Gate 1, not cloud execution.
- Only the owner updates Excel and mutates Git.
End exactly: READY FOR PRE-EDIT REVIEW — W6-003.</t>
  </si>
  <si>
    <t>Gate 1 full-baseline review → Gate 2 exact Code Edit → owner local TEST-001/readiness proof → Gate 3 Column M manifest → Gate 4 Column N closure → W6-004 Gate 1 only</t>
  </si>
  <si>
    <t>Owner approval required after complete Week 1–W6-002 reconciliation and W6-004 handover review</t>
  </si>
  <si>
    <t>Pre-deployment phases of W6-10, W6-11 and W6-13; all live lifecycle work deferred to W6-004</t>
  </si>
  <si>
    <t>W6-004</t>
  </si>
  <si>
    <t>Full AWS infrastructure, services and EKS application lifecycle readiness</t>
  </si>
  <si>
    <t>Deploy the entire enterprise AI platform into an approved AWS environment, prove it live, roll it back, remove it cleanly and leave a repeatable lifecycle after W6-003.</t>
  </si>
  <si>
    <t>Final-approved W5/W6-001/W6-002/W6-003 evidence; approved AWS environment, budget/window, immutable releases and independent rollback targets; no credentials</t>
  </si>
  <si>
    <t>Approved full-platform code/configuration/IaC/test changes; owner-executed deployment, live proof, application/infrastructure rollback, complete teardown, residue/cost evidence and runbook</t>
  </si>
  <si>
    <t>FOUR APPROVAL GATES PLUS OWNER TESTING AND WEEKLY LEARNING — TRACKER v1.3.5
MAIN PROMPT — W6-004
TASK IDENTITY
- Week: Week 6, executed only after W6-003 complete closure
- Feature/outcome: Full AWS infrastructure, services and EKS application lifecycle readiness
- Business purpose: Deploy the entire enterprise AI platform into an owner-approved AWS environment, prove the integrated platform live with synthetic non-production data, exercise independently defined rollback paths, remove the complete project-owned stack cleanly, reconcile residue and delayed cost, and leave a repeatable owner-controlled deploy/rollback lifecycle.
- Mandatory lifecycle flow: bootstrap/state → network/security → data/services → ECR/image → EKS/identity → application composition → observability → live tests → rollback → complete teardown → residue/cost verification
- Covered scope: post-W6-003 completion of all deferred Week 5/Week 6 live infrastructure, service, image, cluster, application, SRE, rollback and teardown work needed for the MVP lifecycle proof
- Required upstream: final-approved W5 lifecycle evidence; final-approved W6-001, W6-002 and W6-003 evidence; approved AWS account/Region/environment; current budget/window; exact owner decisions; no credentials in repository content
- Expected outcome: fresh and identity-bound bootstrap/platform plans; full project-owned AWS and EKS platform deployment; immutable application release; live end-to-end proof; application and infrastructure rollback evidence; platform-first/bootstrap-last teardown; native zero-unexpected-residue and delayed-cost evidence; conditional deploy/rollback-ready runbook.
- Task type: governed full-platform implementation and owner-executed AWS/EKS lifecycle
- Next approval position: exact bounded Code Edit Approval in Column L after Gate 1 resolves every implementation, access, cost, privacy, runtime, rollback, teardown and residual-resource decision
OWNER-CONTROLLED FIRST RESPONSE — GATE 1 READ-ONLY REVIEW ONLY
Inspect the current repository, approved tracker context, W5-004 evidence under E:\AI\.tmp\enterprise-ai-platform-w5-004\owner-test-01, final W5 documentation, approved W6-001/W6-002/W6-003 evidence, and current read-only AWS facts only where the owner later authorizes an exact command. During the first response, do not create, edit, delete, install, download, initialize, plan, build, scan, push, contact AWS/ECR/EKS, run Kubernetes, deploy, remediate, roll back, tear down, edit Excel or mutate Git. Never request, display or store credentials, tokens, kubeconfig contents, private keys or secret values.
This workbook row is planning context, not execution authority. The owner executes every install, Terraform, Docker, scanner, registry, AWS, EKS, Kubernetes, deployment, rollback, destroy and residue command one at a time under TEST-001 after the applicable gate. Codex writes only exact owner-approved paths and runs nothing.
SOURCE PRECEDENCE
Apply, in order:
1. Enterprise AI Architecture Source of Truth v1.1.
2. Owner-approved ADRs and decision records.
3. Coaching Blueprint and approved learning records.
4. Tracker v1.3.5 and this W6-004 row.
5. Approved feature requirements, repository configuration and owner-executed evidence.
Use final-approved evidence to establish historical facts and current inspection to establish current facts. Preserve every PASS, FAIL, NOT RUN, INDETERMINATE, warning, accepted risk, limitation, deferred action and residual-resource fact. Report conflicts and stop; never silently reconcile them.
AUTHORITATIVE STARTING POSITION TO VERIFY
- W5-004 completed a synthetic non-production AWS sandbox lifecycle and then removed it. Platform and bootstrap Terraform state ended empty within the recorded scope.
- W5-004 forward deployment, targeted rollback, platform destruction and bootstrap destruction used distinct saved plans and approvals. No historical plan is reusable for W6-004.
- Historical W5 plans include consumed, failed or ineligible artifacts. In particular, consumed saved-plan-005 and any failed/ineligible attempt must never be reapplied or treated as current evidence. W6-004 requires wholly fresh discovery, inputs, state, source hashes, plans, OPA results, cost evidence, approvals and deadlines.
- A Week 5 apply partially succeeded: 36 resources were present, five OpenSearch resources were absent and one Logs resource policy was initially indeterminate. Automatic retry was prohibited. W6-004 must treat partial apply as a first-class recoverable state, freeze mutation, inventory native and Terraform state, invalidate the consumed approval/plan, diagnose offline, and require a new reviewed plan.
- The observed CloudWatch Logs CreateLogGroup calls failed with AccessDenied while later IAM simulations returned allowed. Do not rewrite that history as proven eventual consistency. Preserve AUTHORIZATION FAILURE OBSERVED — ROOT CAUSE UNRESOLVED unless new retained evidence proves a cause.
- The successful bounded OpenSearch logging remediation removed only kms:ViaService from the exact CloudWatch Logs encryption statement while retaining the regional Logs service principal, seven required KMS actions, wildcard key resource and four exact encryption-context ARNs. W6-004 must verify current AWS/KMS/Logs/OpenSearch compatibility and must not broaden the key policy merely to make deployment pass.
- Provider-computed shape failures occurred during planning. W6-004 must use bounded structural adapters and representative offline replay tests before repeating live planning; pasted orchestration, hard-coded hashes and unconditional PASS banners are prohibited.
- W5-004 eventually used fresh forward plan saved-plan-015, targeted rollback saved-plan-016, full platform destroy saved-destroy-017 and bootstrap-last destroy saved-bootstrap-destroy-018. Those identities are historical evidence only, never W6 authorization.
- Week 5 targeted rollback removed the OpenSearch domain and four managed log groups while retaining a Logs resource policy until full destroy. It was a verified recovery exercise, not proof of an independently defined pre-existing last-known-good deployment. W6-004 must define and verify last-known-good application and infrastructure targets before forward mutation.
- Week 5 destroyed the platform before bootstrap/state. The bootstrap state bucket contained versioned objects that required separate exact authorization before bucket destruction. W6-004 must preserve platform-first/bootstrap-last ordering and explicitly plan versioned object cleanup.
- Service-linked or shared AWS resources, including an externally managed OpenSearch service-linked role, must be discovered and classified; they are not silently adopted or destroyed.
- W5 cost status remained WAIVED/ACCEPTED_RISK — NOT PASS and USD_3_BOUNDED=false. Advisory Infracost output was not actual billing proof. W6-004 must not call cost PASS when terraform show -json is invalid, embedded errors exist, zero resources are priced incorrectly or coverage is incomplete. Actual delayed billing and variable/teardown/tail cost require reconciliation.
- Two Week 5 KMS keys were PendingDeletion at closure. PendingDeletion is not physical absence. Gate 1 must verify current absence or classify the exact remaining tail before creating replacement infrastructure.
- W5-004 retained a final complete-suite validation gap after final KMS/OPA edits. W6-004 must require a current full repository validation before any cloud mutation.
- W6-001 implemented a secure Kubernetes source template and immutable release binder but closed as SOURCE TEMPLATE VALID — NOT DEPLOYABLE. Real image evidence, Stage B binding, server-side admission, deployment and live identity/network/resilience verification remained NOT RUN.
- W6-002 and W6-003 facts must be read from their final-approved evidence. Their prompt names do not prove implementation or live execution.
MANDATORY FULL-PLATFORM LIFECYCLE
1. Bootstrap/state
- Perform fresh native discovery before deciding that the environment is empty or reusable.
- Verify account, Region, principal, tags, expiry, KMS-tail status and delayed billing.
- Create or reconcile the project-owned Terraform backend, versioned/encrypted state bucket, DynamoDB locking, KMS key/alias, access controls and expiry sentinel through a fresh saved bootstrap plan.
- Bind source, inputs, backend, provider lock, account, Region, principal, state lineage/serial, OPA, cost review, approval and deadline.
- Prove locking, encrypted/versioned state and recovery boundaries without exposing state secrets.
2. Network/security
- Deploy or reconcile only approved project-owned VPC, private subnets, routes, restricted default security group, endpoint security group and required gateway/interface endpoints.
- Include approved private access for S3, DynamoDB, ECR API/DKR, EKS, STS, KMS, Secrets Manager, CloudWatch Logs and Bedrock Runtime where current architecture requires it.
- Verify no unintended public ingress, NAT or internet path; any approved exception requires explicit cost/privacy/security approval.
- Deploy exact KMS, IAM/OIDC, runtime, ingestion and administration controls with least privilege and negative authorization tests.
3. Data/services
- Deploy or reconcile the encrypted/versioned platform S3 storage, metadata-only secret/configuration inputs, private OpenSearch domain, four managed encrypted log groups, exact Logs resource policy, retention settings and service-linked-role boundary.
- Verify OpenSearch network placement, encryption, access policy, readiness, log publication, synthetic write/readback and cleanup ownership.
- Verify the current KMS/CloudWatch Logs compatibility contract before domain creation. No broad wildcard principal or unbounded encryption context is permitted.
- Define data initialization, synthetic test dataset, schema/index compatibility, retention and rollback behavior. Production data and PII remain prohibited unless separately approved.
4. ECR/image
- Determine whether the authoritative application candidate is rebuilt or recovered from approved retained OCI evidence.
- Bind source identity, dependency lock, base-image identity, build inputs and output digest.
- Run pinned Trivy and Grype scans with current databases; generate and hash SPDX and CycloneDX SBOMs; generate provenance and image-composition evidence.
- Deploy/reconcile ECR controls and publish only after exact owner approval. Verify the registry-returned immutable digest; reject tag-only identity.
5. EKS/identity
- Deploy or reconcile the approved project-owned EKS control plane, node capacity, private endpoint/access model, encryption, logging, add-ons, Metrics Server, namespace and admission/security controls.
- Configure EKS Pod Identity agent, exact IAM trust/permissions and ServiceAccount association without static credentials.
- Verify caller, cluster, Kubernetes version, add-ons, node readiness, quotas, capacity, encryption and least-privilege allow/deny behavior.
- Shared clusters or shared node/network components must be explicitly classified and excluded from destroy unless the owner separately approves ownership.
6. Application composition
- Supply the closed W6-01 evidence to W6-001 Stage B and generate a new external immutable release package bound to the registry digest.
- Preserve the invalid source sentinel in the repository template; only the generated package may contain the real digest.
- Compose the API, authentication, RAG/retrieval, private OpenSearch, approved Bedrock model boundary, non-secret configuration, approved secret delivery, storage and telemetry dependencies.
- Validate all health/readiness paths, migrations/index initialization, timeout/retry/cancellation, idempotency and dependency-failure behavior.
7. Observability
- Deploy/reconcile metrics, logs, traces, dashboards, alerts and evidence paths approved by W6-002.
- Verify redaction, tenant/classification safety, retention, alert routing, SLO signals and bounded chaos/failure observation.
- Monitoring must cover infrastructure, OpenSearch, EKS, workload, dependency, rollout, rollback, teardown and cost signals.
8. Live tests
- Run client and server-side admission before apply; a dry-run PASS is not deployment PASS.
- Deploy the immutable package and verify exact running digest, replicas, rollout, probes, Service routing and application health.
- Run synthetic end-to-end authenticated RAG/API flows through the real approved AWS services without customer data.
- Verify Pod Identity, IAM allow/deny, Kubernetes RBAC denial, NetworkPolicy default-deny, required DNS/service flows, explicitly denied flows, OpenSearch access, Bedrock access, telemetry/alerts, HPA, PDB, scheduling/capacity and bounded resilience.
- Reconcile infrastructure state, native AWS inventory, Kubernetes inventory, application evidence and current estimated/observed cost after deployment.
9. Rollback
- Define and verify independently approved last-known-good application and infrastructure targets before forward mutation.
- Application rollback must restore an exact prior immutable digest and verify digest, rollout, probes, service health, identity, network, telemetry and data/index compatibility.
- Infrastructure rollback must use a separately generated, reviewed, policy-checked, cost-reviewed and owner-approved saved plan that restores the exact known-good infrastructure contract; it must not reuse the forward plan or substitute targeted destroy for rollback.
- Introduce only an approved safe regression or use a naturally observed bounded failure. Freeze automatic remediation on failure and preserve before/after evidence.
- After rollback verification, the owner decides whether to retain the restored stack temporarily or proceed to complete teardown.
10. Complete teardown
- Generate and approve a fresh full platform destroy plan after rollback evidence. Remove application/Kubernetes resources and all project-owned platform resources in dependency order.
- Verify ECR/S3/OpenSearch and other stateful services are non-blocking; versioned objects, retained images and evidence require explicit retention/deletion decisions.
- Perform native Kubernetes and AWS orphan discovery after platform destroy.
- Only after platform absence is verified, generate and approve the separate bootstrap destroy plan. Remove versioned state objects only under exact owner authorization, then destroy the state bucket, lock table, KMS alias/key, controls and expiry sentinel.
- Never destroy shared/external resources or historical evidence outside the approved boundary.
11. Residue/cost verification
- Verify empty Terraform states and use native AWS/Kubernetes discovery across VPC, subnets, endpoints, security groups, IAM/OIDC/Pod Identity, ECR, S3/versioned objects, Secrets Manager metadata, OpenSearch, CloudWatch Logs/resource policies, EKS/node groups/add-ons, load balancers, DNS/certificates, KMS aliases/keys, application objects and owner-expiry controls.
- Classify every residual as removed, intentionally retained, shared/excluded, PendingDeletion, billing-lagged or unexpected. Unexpected active resources fail closure.
- PendingDeletion is a retained time-bound tail, not absence. Schedule owner follow-up after the deletion date.
- Reconcile advisory estimates, actual billing where available, variable charges, transfer, requests, teardown and delayed KMS/billing tails. Incomplete coverage is INDETERMINATE or accepted risk, never PASS.
- Produce the final conditional deploy/rollback-ready runbook. “Ready anytime” means the reviewed process can be repeated only after fresh access, state, source, image, vulnerability, certificate, quota, capacity, cost and approval checks.
GATE 1 REQUIRED READ-ONLY RESPONSE
1. Business outcome and acceptance
Define measurable full-platform deployment, live proof, rollback, teardown, residue/cost and conditional readiness criteria. Separate sandbox/pre-production proof from production readiness.
2. Complete current-state and W5 issue register
Reconcile repository identity/status; W5 partial-apply facts; consumed/ineligible plans; authorization failure; KMS/Logs remediation; provider-shape failures; successful plans 015–018; state lineages/serials; KMS tails; delayed billing; final-suite gap; current AWS native discovery; and W6-001/W6-002/W6-003 closure. For each historical issue state detection, root-cause certainty, correction, prevention control, current relevance and required W6 verification.
3. Dependency and lifecycle map
Map bootstrap/state → network/security → data/services → ECR/image → EKS/identity → application composition → observability → live tests → rollback → complete teardown → residue/cost verification. Name ownership, state, trust, network, cost and approval boundaries at every edge.
4. Exact producer-consumer and path impact manifest
Trace Terraform roots/modules/state, policy/cost adapters, saved-plan/evidence schemas, image pipeline, release binder, Kubernetes manifests, runtime dependencies, observability, rollback, destroy and discovery consumers. Return CREATE, UPDATE, DELETE, VERIFIED UNCHANGED, GENERATED EXTERNAL OUTPUTS, RETAINED, DEFERRED and EXCLUDED paths. Label absent paths PROPOSED; never guess filenames.
5. Exact schemas, identities and invariants
Define closed schemas for discovery, inputs, plans, normalized plans, OPA, cost, approval, apply, partial apply, image, scans, SBOMs, provenance, release binding, deployment, live tests, rollback, destroy, residue and billing. Include canonicalization, hashes, account/Region/principal, state lineage/serial, cluster/namespace, deadlines, redaction and single-use rules.
6. Infrastructure and runtime API review
Verify pinned Terraform/AWS provider, Docker/build, scanners, AWS CLI/SDK, kubectl/kustomize, EKS, policy, cost and telemetry APIs. Reconcile provider-computed shapes with offline representative fixtures before live plans. State cache/network/download and provenance requirements.
7. Partial-failure, concurrency and recovery analysis
Cover lock contention, duplicate invocation, consumed approval, partial plan/apply, eventual consistency without invented causality, KMS/Logs failure, OpenSearch timeout, image push failure, node/add-on delay, failed rollout, failed rollback, partial destroy, versioned-object blockage, KMS PendingDeletion and billing lag. Define fail-safe freezes and resumable evidence.
8. Ordered TEST-001 lifecycle
Provide one command at a time for current full-suite validation; native discovery; KMS/billing follow-up; bootstrap plan/review/apply/verify; platform plan/review/apply/verify; image build/scans/SBOM/provenance/ECR; EKS/identity; release binding; admission; deployment; live application/security/SRE/resilience tests; application rollback; infrastructure rollback; restored-state verification; platform destroy; native orphan scan; bootstrap destroy; final native discovery; delayed cost; identities; and zero residue. For each command state purpose, expected result, access, cost, privacy, risk and stop condition.
9. Security, privacy, governance and cost
Apply least privilege, private networking, no static credentials, synthetic non-production data, redacted evidence, residency, encryption, immutable provenance, bounded retention and explicit stage costs. Identify all paid actions and owner stop thresholds. No historical waiver automatically carries forward.
10. Rollback, teardown and readiness design
Define independently known-good application and infrastructure baselines, triggers, exact restore identities, data/schema compatibility, post-rollback tests, platform-first/bootstrap-last teardown, shared exclusions, retained evidence, KMS/billing follow-up and readiness expiry/revalidation.
11. Owner decisions — ask all together
Request one consolidated set covering account/Region/environment; ownership/reuse versus create; backend/state; network/public/NAT/endpoints; KMS; IAM/OIDC/Pod Identity; S3/OpenSearch/logging; ECR/image/build; vulnerability exceptions; SBOM/provenance/signing; EKS/node capacity/add-ons; DNS/certificates; secrets; Bedrock/model; test data; observability/SLO/alerts; safe failure injection; deployment window; cost ceiling; known-good rollback targets; retention; destroy boundary; expected residuals; and billing follow-up. Include recommendation, alternatives, trade-offs, downstream impact and blocked gate for each unresolved item.
12. Owner learning and interview preparation
Explain the complete platform lifecycle, Week 5 failure lessons, partial-apply recovery, immutable promotion, live trust/data flow, application versus infrastructure rollback, teardown, cost/residue and conditional repeatability in 30-second, two-minute and five-minute forms. Include at least five interview questions and require owner teach-back before final closure.
APPROVAL AND EXECUTION RULES
- Gate 1 is read-only and ends with the complete impact, issue, lifecycle and decision review.
- Gate 2 begins only after the owner supplies an exact Code Edit Approval. Re-read every approved path and consumer; drift returns BLOCKED — BASELINE CHANGED.
- Codex writes only approved code/configuration/IaC/schema/policy/automated-test paths and runs nothing.
- TEST-001 is owner-executed one command at a time. Any failure freezes mutation, invalidates consumed/affected approvals where applicable, triggers a complete read-only state/root-cause/consumer/gate audit, and requires one consolidated remediation approval. No automatic retry or fix.
- Gate 3 writes only the exact approved documentation manifest after owner results.
- Gate 4 closes every manifest document together after final owner approval. No partial closure.
- Only the owner updates Excel and mutates Git.
End exactly: READY FOR PRE-EDIT REVIEW — W6-004.</t>
  </si>
  <si>
    <t>Gate 1 complete platform/W5 issue review → Gate 2 exact Code Edit → owner TEST-001 full AWS/EKS deploy/live/rollback/teardown lifecycle → Gate 3 Column M manifest → Gate 4 Column N complete closure → owner tracker update</t>
  </si>
  <si>
    <t>READY FOR PRE-EDIT REVIEW — W6-004</t>
  </si>
  <si>
    <t>Owner approval required after complete read-only infrastructure, service, access, cost, rollback and teardown review</t>
  </si>
  <si>
    <t>Post-W6-003 full lifecycle closure for W5/W6 infrastructure, services, ECR, EKS, application and SRE</t>
  </si>
  <si>
    <t>COLUMN N — FINAL APPROVAL AND COMPLETE DOCUMENTATION CLOSURE — W6-004
This gate authorizes complete documentation closure only after owner review. It is not code, test, cloud, deployment, rollback, teardown, tracker-edit or Git authority.
OWNER MUST SUPPLY — DO NOT INVENT
- Prompt ID, reviewer/role, exact decision and approval timestamp/timezone.
- Final source, plan/state, OPA/cost, image/ECR, release, cluster, deployed and rollback identities.
- Exact results for all eleven lifecycle stages.
- W5 failure-shield outcomes and every historical/current failure or remediation.
- Accepted warnings, risks, evidence gaps, limitations and conditions.
- Every NOT RUN and INDETERMINATE activity.
- Application and infrastructure rollback facts.
- Platform-first/bootstrap-last teardown and exact retained/residual-resource facts.
- Actual/advisory/delayed cost classification, KMS tails and follow-up.
- Deferred actions/owners and conditional readiness expiry/revalidation requirements.
COLUMN N PREFLIGHT — NO PARTIAL CLOSURE
1. Retrieve the complete `COLUMN M APPROVED DOCUMENT MANIFEST — W6-004` and verify every owner-reviewed hash.
2. Reconcile source, plan, state, policy, cost, image, registry, release, cluster, deployed, rollback, destroy and residue identities across every document.
3. Reconcile all lifecycle results and W5 prevention controls.
4. Confirm independent last-known-good application/infrastructure targets and distinguish rollback from teardown.
5. Confirm platform-first/bootstrap-last destruction, versioned-object handling, shared exclusions, KMS tails, native discovery and delayed billing.
6. Preserve every failure, waiver, accepted risk, NOT RUN, INDETERMINATE and deferred item.
7. Confirm “ready anytime” remains conditional on fresh access, state, source, image, vulnerability, certificate, quota, capacity, cost and owner-approval checks.
8. Confirm every path is in scope and no document falsely claims production readiness, global account cleanliness, cost PASS or physical KMS absence.
9. Any missing, changed, conflicting or out-of-scope document returns exactly: BLOCKED — COLUMN N DOCUMENTATION PREFLIGHT FAILED — W6-004.
MANDATORY COMPLETE CLOSURE AND REPORT
Update every manifest document together with prompt ID, reviewer/role, decision/date, final status, code/document review, owner results, risks/gaps, NOT RUN/INDETERMINATE, deployment, live proof, both rollback layers, both teardown layers, retained/residual resources, cost, deferred actions, readiness conditions, handover and `Tracker update responsibility: Owner`.
Return one reconciliation row per document and report manifest count, updated count, unchanged-with-approved-reason count, missing/conflicting count and complete reconciliation PASS/FAIL.
PROHIBITED
Do not modify code/test/config/IaC/schema, run commands/tests, deploy, remediate, roll back, tear down, edit Excel, stage, commit, push, start another prompt or add an unlisted document.
Only complete reconciliation may authorize the owner tracker update.
End exactly:
APPROVED FOR USER TRACKER UPDATE — W6-004.</t>
  </si>
  <si>
    <t>COLUMN L — EXACT BOUNDED CODE EDIT APPROVAL MANIFEST — W6-002
1. Task and baseline identity
- Prompt ID: W6-002
- Task: Deployment-ready observability, SLO, alerting and failure-response controls
- Repository: E:\AI\enterprise_ai_platform
- Approved branch: main
- Approved HEAD: 82e05dd9e7c3de866ee83026a5fe835368cbad4d
- Approved upstream: origin/main
- Approved ahead/behind: 0/0
- Classified working tree: tracked paths clean; only docs/governance/~$Enterprise_AI_Architecture_6_Week_Execution_Tracker_v1.3.5.xlsx is untracked, owner-controlled, excluded, and non-blocking.
- Current tracker SHA-256: 830f66a61818248b99e604e0fd9bcb09c59c3ba7152b8279045a634aeb6121e6
- W6-001 status: SOURCE TEMPLATE VALID — NOT DEPLOYABLE
- W6-001 comparison result: 2052 passed, 7 skipped, 4 deselected, with one retained dependency warning.
- Cloud deployment, live alerts, FIS execution, operational rollback, and cloud teardown: NOT RUN.
Immediately before editing, Codex must re-read the current source identity, every approved path, all direct consumers, and the W6-001 evidence. Any tracked drift returns:
BLOCKED — BASELINE CHANGED
2. Approved architectural decisions
Versioning
- Preserve w4-003.telemetry.v1 unchanged.
- Add w6-002.observability.v1.
- Add w6-002.slo.v1.
- Add w6-002.fis-plan.v1.
- Do not change API, RAG, retrieval, agent, approval, or tool-result schemas.
Export topology
- W6-002 prepares a pod-local/sidecar OTLP design.
- Application OTLP ingress endpoint: 127.0.0.1:4317.
- Transport: OTLP over gRPC.
- Signals: traces, metrics, and validated safe logs.
- Application code must not contact CloudWatch, X-Ray, Prometheus, Grafana, Jaeger, or AWS directly.
- Collector/backend egress belongs exclusively to W6-004.
- configs/observability/otel-collector.local.yaml remains the unchanged deterministic local fallback.
- The W6-002 AWS collector artifact remains classified:
DEPLOYMENT INPUT — OWNER BINDING REQUIRED — NOT DEPLOYABLE
- No collector image, tag, or digest is authorized in W6-002. W6-004 must bind an immutable collector digest after separate review.
Application export bounds
For the new explicitly enabled export mode:
- Queue capacity: 512 validated observations.
- Batch size: 64.
- Maximum batch size: 64.
- Scheduled export delay: 1.0 second.
- Per-export timeout: 1.0 second.
- Application exporter retries: 0.
- Background export workers: 1.
- Overflow behavior: drop oldest and retain the newest operational evidence.
- Flush timeout: 2.0 seconds.
- Shutdown timeout: 2.0 seconds.
- Export failure, timeout, saturation, or shutdown failure must never fail, authorize, duplicate, or retry business work.
The existing null/local mode retains:
- Span capacity: 512.
- Safe-log capacity: 512.
- Queue/retry/background workers: 0.
- Flush/shutdown timeout: 1.0 second.
Collector contract bounds
The W6-004 handover configuration must specify:
- Memory check interval: 1s.
- Memory limit: 128 MiB.
- Memory spike limit: 32 MiB.
- Batch timeout: 1s.
- Batch size and maximum: 64.
- Sending queue size: 512.
- Queue consumers: 1.
- Retry initial interval: 1s.
- Retry maximum interval: 5s.
- Retry maximum elapsed time: 30s.
- Export timeout: 1s.
- Health endpoint: loopback only in W6-002 fixtures.
- No secret, credential, tenant content, or raw exception text in configuration.
Dependency boundary
- Existing OpenTelemetry API/SDK range remains &gt;=1.44,&lt;1.45.
- Existing locked API/SDK version remains 1.44.0.
- No new runtime exporter dependency or lock-file change is authorized in W6-002.
- W6-002 implements an injected, bounded exporter protocol and validates it with deterministic fakes.
- W6-004 must separately approve and lock opentelemetry-exporter-otlp-proto-grpc==1.44.0 or an explicitly reviewed compatible replacement.
- FastAPI auto-instrumentation remains prohibited.
- Native alert-rule validation requires owner-supplied promtool 3.5.0; Codex must not download or install it. Its executable identity and SHA-256 must be recorded before owner execution.
3. Approved SLO contract
Eligible query population
Include authenticated and authorized API queries that reach the RAG execution boundary.
Exclude:
- Health and readiness probes.
- Unsupported media type.
- Oversized or malformed requests.
- Authentication failures.
- Authorization denials.
- Explicit policy/guardrail rejection before business execution.
- Owner-labelled synthetic alert fixtures.
Availability
Good outcomes:
- Contract-valid cited answer.
- Contract-correct safe abstention caused by insufficient, unavailable, unauthorized, conflicting, or malformed evidence.
Bad outcomes:
- Internal error.
- Dependency unavailable.
- OpenSearch/vector timeout.
- Bedrock/LLM timeout, throttle, malformed response, or unavailable outcome.
- API deadline exceeded.
- Readiness failure affecting an eligible query.
- Exporter failure does not itself make the business request bad unless the business request also fails.
Target:
- 99.9% over a rolling 30-day window.
- Minimum population: 100 eligible queries.
- Fewer than 100 eligible queries: NO DATA, never PASS.
- Planned maintenance is not silently excluded.
Latency
- End-to-end p95: &lt;4 seconds.
- End-to-end p99: &lt;10 seconds.
- Retrieval p99: &lt;750 milliseconds.
- Retrieval population includes only eligible queries that actually invoke retrieval.
- Timed-out requests remain present as bad latency/availability outcomes.
Quality and safety release SLIs
These are release gates, not Prometheus operational SLOs:
- Citation-valid grounded answer or correct safe abstention: &gt;=95%.
- Golden-set Recall@5: &gt;=0.85.
- Tenant isolation: 100%.
- Consequential-action safety: 100%.
Any isolation or consequential-action safety failure blocks release regardless of error budget.
Error-budget and burn policy
- Availability error budget: 0.1% over 30 days.
- Fast-burn alert: 14.4× burn observed across both 5m and 1h.
- Slow-burn alert: 6× burn observed across both 30m and 6h.
- Short-window alert evaluation requires at least 20 eligible requests; otherwise NO DATA.
- Exhausted error budget freezes release promotion until explicit owner review.
- Missing telemetry is NO DATA, never healthy.
4. Alert and dashboard contract
Approved alert identities:
- EnterpriseAIAvailabilityFastBurn
- EnterpriseAIAvailabilitySlowBurn
- EnterpriseAIHighP95Latency
- EnterpriseAIHighP99Latency
- EnterpriseAIRetrievalHighP99Latency
- EnterpriseAITelemetryExportFailure
- EnterpriseAITelemetryDrop
- EnterpriseAITelemetryNoData
- EnterpriseAIBedrockThrottle
- EnterpriseAIDependencyUnavailable
Required labels:
- severity
- owner
- task_id
- service
- environment
Required annotations:
- summary
- impact
- runbook
- evidence
- rollback_action
Ownership:
- Primary owner: Gyan Prakash Rai
- Role: Project Owner and Sandbox SRE
- Backup owner: none for the learning sandbox.
- Unattended operation is prohibited while no backup owner exists.
Destinations:
- W6-002 destination: deterministic local synthetic test sink only.
- No email, SNS, Slack, PagerDuty, or other external delivery is authorized.
- W6-004 must obtain separate approval for a live destination.
Dashboard:
- Format: provider-neutral Grafana JSON.
- Path: observability/dashboards/enterprise-ai-overview.json.
- CloudWatch dashboard generation and deployment remain W6-004 work.
- Dashboard variables and labels must be finite and content-free.
5. Retention, residency, security, and cost
- Approved AWS Region for the future W6-004 observability path: ap-southeast-1.
- Local test observations: process lifetime only and zero residue after tests.
- W6-002 creates no external telemetry and therefore establishes no live trace, log, or metric retention.
- Proposed future CloudWatch safe-log retention: 14 days.
- X-Ray and CloudWatch metric provider-managed retention must be verified in W6-004 before deployment; no retention capability is invented here.
- Repository evidence may contain only content-free summaries and remains governed by repository evidence policy.
- No raw prompt, answer, evidence, tool argument/result, credential, tenant/subject/approval identifier, provider envelope, exception text, stack trace, or reasoning content may cross an observability boundary.
- W6-002 cloud/provider cost: USD 0 because cloud activity is prohibited.
- Local CPU, storage, electricity, and owner time are not monetized as zero.
- No W6-004 observability or FIS spend is authorized. W6-004 remains blocked until it has fresh pricing coverage and an explicit lifecycle cost ceiling.
6. FIS plan contract
The W6-002 FIS artifact is plan-only and non-executable.
- Schema: w6-002.fis-plan.v1
- Region: ap-southeast-1
- Environment: sandbox
- Execution status: NOT RUN
- Maximum targets: 1
- Maximum experiment duration: 300 seconds
- Proposed action: aws:eks:pod-delete
- Cluster logical identity: enterprise-ai-sandbox
- Namespace: enterprise-ai-sandbox
- Workload label: app.kubernetes.io/name=enterprise-ai-api
- Required resource tags:
  - Project=enterprise-ai-platform
  - Environment=sandbox
  - Owner=Gyan-Prakash-Rai
  - ManagedBy=terraform
  - CostCenter=Personal-Learning
  - Feature=MVP-001
  - Repository=enterprise-ai-platform
  - ExpiresAt supplied in W6-004 and no more than 24 hours after resource creation.
- Stop-alarm logical identities:
  - enterprise-ai-sandbox-api-availability-fast-burn
  - enterprise-ai-sandbox-telemetry-export-failure
- Abort when:
  - More than one target is selected.
  - Namespace, cluster, label, or mandatory tags differ.
  - Any isolation or consequential-action safety signal fires.
  - Ready application replicas remain zero for more than 60 seconds.
  - The owner issues a stop decision.
- Recovery requires restored desired replicas, readiness success, digest identity verification, alert recovery, and zero unexpected residue.
- FIS IAM, CloudWatch alarms, executable experiment template, and actual invocation remain W6-004 work.
7. Exact Gate 2 path manifest
CREATE — exactly 16 paths
1. configs/observability/otel-collector.aws.yaml
2. configs/observability/slo.yaml
3. configs/chaos/fis-plan.yaml
4. observability/alerts.yml
5. observability/dashboards/enterprise-ai-overview.json
6. src/enterprise_ai_platform/telemetry/export.py
7. src/enterprise_ai_platform/telemetry/slo.py
8. tools/w6_002_observability.py
9. tests/fakes/observability.py
10. tests/unit/test_w6_002_observability.py
11. tests/contract/test_w6_002_observability_contract.py
12. tests/integration/test_w6_002_telemetry_composition.py
13. tests/feature/test_failure_modes.py
14. tests/security/test_w6_002_observability_security.py
15. tests/rollback/test_w6_002_observability_rollback.py
16. tests/teardown/test_w6_002_observability_cleanliness.py
All 16 paths were absent at manifest preparation.
UPDATE — exactly 17 paths
1. .env.example
2. Makefile
3. feature-matrix.yaml
4. src/enterprise_ai_platform/config.py
5. src/enterprise_ai_platform/telemetry/__init__.py
6. src/enterprise_ai_platform/telemetry/models.py
7. src/enterprise_ai_platform/telemetry/runtime.py
8. src/enterprise_ai_platform/app.py
9. tools/platformctl/validate.py
10. tests/conftest.py
11. tests/unit/test_config.py
12. tests/unit/test_platformctl.py
13. tests/feature/test_feature_matrix.py
14. tests/feature/test_w2_002_embedder_contract.py
15. tests/feature/test_w2_003_ingestion_contract.py
16. tests/integration/test_dependency_contract.py
17. tests/security/test_configuration_security.py
DELETE — exactly 0 paths
None.
VERIFIED UNCHANGED CONSUMERS
- configs/observability/otel-collector.local.yaml
- requirements.txt
- requirements-runtime.lock
- requirements-ci.lock
- requirements-checkov.lock
- pyproject.toml
- .github/workflows/ci.yml
- src/enterprise_ai_platform/api/runtime.py
- src/enterprise_ai_platform/api/routes.py
- src/enterprise_ai_platform/rag/service.py
- src/enterprise_ai_platform/retrieval/service.py
- src/enterprise_ai_platform/agent/graph.py
- src/enterprise_ai_platform/agent/controller.py
- src/enterprise_ai_platform/embeddings/base.py
- tests/unit/test_telemetry.py
- tests/contract/test_telemetry_schema.py
- tests/integration/test_telemetry_composition.py
- tests/feature/test_trace_correlation.py
- tests/feature/test_agent_failures.py
- tests/security/test_telemetry_redaction.py
- tests/rollback/test_w4_003_telemetry_rollback.py
- tests/teardown/test_w4_003_telemetry_cleanliness.py
- deploy/k8s/configmap.yaml
- deploy/k8s/deployment.yaml
- deploy/k8s/hpa.yaml
- deploy/k8s/kustomization.yaml
- deploy/k8s/networkpolicy.yaml
- deploy/k8s/pdb.yaml
- deploy/k8s/service.yaml
- deploy/k8s/serviceaccount.yaml
- tools/w6_001_k8s.py
- policies/opa/kubernetes.rego
- policies/opa/kubernetes_test.rego
Any required change to a verified-unchanged path requires a new consolidated remediation approval.
8. Exact symbols and APIs
Create:
- ExportSink protocol.
- ExportBatch immutable model.
- BoundedExportQueue.
- ExportWorker.
- ExportingTelemetryComposition.
- build_exporting_telemetry.
- SLODefinition.
- SLIObservation.
- SLOEvaluation.
- BurnRateWindow.
- evaluate_slo.
- validate_observability_contract.
Extend existing settings with conditional, fail-fast export-mode validation while preserving the existing default-off behavior.
Exporter shutdown order:
1. Stop accepting new export observations.
2. Flush at most one bounded queue.
3. Stop the single export worker.
4. Shut down providers exactly once.
5. Report failure using approved finite telemetry signals.
6. Leave no thread, task, socket, file, or cache residue.
9. Automated-test requirements
Tests must prove:
- Existing w4-003.telemetry.v1 remains unchanged.
- New models are strict, immutable, extra-forbidden, and versioned.
- Sensitive values are rejected before queues and sinks.
- Queue and batches enforce exact limits.
- Saturation drops safely and never blocks business work.
- Export exceptions and timeouts do not change business results.
- Cancellation propagates without replacement work.
- Flush and shutdown occur exactly once for owned runtimes.
- Injected runtimes remain externally owned.
- SLO populations, exclusions, minimum traffic, NO DATA, targets, and burn calculations are exact.
- Alert fixtures fire, remain quiet, recover, and handle missing data correctly.
- Dashboard panels use only approved rules and safe labels.
- OpenSearch and Bedrock failure fixtures cause bounded safe outcomes.
- No retry storm occurs.
- The FIS plan cannot target production, multiple resources, untagged resources, or an expired scope.
- Rollback restores null/local W4 behavior.
- No local residue remains.
- OBS-001 links W6-06 through W6-09 while retaining W3-09 and W4-08.
- W6-001 source-template behavior remains unchanged.
10. Column M paths reserved for later approval
Column L does not authorize these documents:
- docs/test-evidence/W6-002.md
- docs/test-evidence/W6-06-observability.json
- docs/test-evidence/W6-09-chaos.txt
- docs/architecture/slo.md
- runbooks/inference-latency.md
- docs/chaos/fis-plan.md
- docs/adr/ADR-018-deployment-ready-observability.md
- docs/test-evidence/README.md
They require a separate Column M approval after complete owner testing.
11. W6-003 handover fields
- Current source identity and exact changed-path hashes.
- Telemetry and observability schema identities.
- SLO definitions and evaluation status.
- Alert and dashboard identities.
- Local exporter/failure/tabletop results.
- Rollback and zero-residue results.
- Historical failures and passing remediation reruns.
- Accepted warnings and dependency limitations.
- Explicit NOT RUN register for every live/cloud activity.
- Confirmation that the output is local readiness evidence only.
12. W6-004 handover fields
- Exact application-export configuration and hashes.
- Collector contract and immutable-image binding requirements.
- ap-southeast-1 residency boundary.
- Required private endpoints for telemetry destinations.
- Collector Pod Identity/IAM requirements.
- Exact NetworkPolicy flows.
- CloudWatch/X-Ray signal mapping.
- Proposed 14-day safe-log retention.
- Alert identities and required live destination approval.
- Dashboard contract.
- FIS target, alarm, abort, recovery, expiry, and cost prerequisites.
- Fresh infrastructure state, plan, OPA, pricing, approval, deployment, rollback, teardown, native inventory, delayed-billing, and residue evidence requirements.
- Prohibition on reusing W5 plans, state assumptions, cost waivers, or historical cloud evidence.
13. Authorized action after activation
Codex may write only the 16 CREATE and 17 UPDATE paths listed above.
Codex must not:
- Write Column M documentation.
- Edit Excel.
- Change any verified-unchanged path.
- Run tests, formatting, typing, validation, installers, or scanners.
- Start a collector or application.
- Use Docker, AWS, EKS, Kubernetes, FIS, registries, or model services.
- Deploy, roll back, or tear down.
- Stage, commit, or push.
- Create temporary repository artifacts.
After editing, Codex must return the exact changed paths, architecture, schemas, local/cloud boundary, controls, TEST-001 sequence, rollback/cleanup procedure, handover fields, and owner teach-back.
Owner activation sentence
To activate this exact boundary, return:
I approve the exact W6-002 Column L manifest: baseline 82e05dd9e7c3de866ee83026a5fe835368cbad4d; 16 CREATE, 17 UPDATE, 0 DELETE; all verified-unchanged, deferred, excluded, schema, dependency, SLO, alert, FIS, security, cost and lifecycle boundaries exactly as written.</t>
  </si>
  <si>
    <t>COLUMN M — EXACT DOCUMENT WRITING APPROVAL — W6-002
This is a separate owner approval for W6-002 documentation writing after the bounded code/configuration edits and owner-executed testing. It authorizes only the documentation paths enumerated below. It grants no authority to edit code, configuration, IaC, schemas, automated tests, the Excel tracker, or any other repository path.
EXACT DOCUMENTATION BOUNDARY
CREATE
- docs/test-evidence/W6-002.md
- docs/architecture/slo.md
- docs/test-evidence/W6-06-observability.json
- docs/test-evidence/W6-09-chaos.txt
UPDATE
- docs/test-evidence/README.md
VERIFIED UNCHANGED
- None.
EXCLUDED
- Every repository path not enumerated under CREATE or UPDATE.
- Application code, configuration, IaC, schemas, policies, automated tests, dependency files, generated artifacts, and Excel tracker fields.
- Git staging, commits, pushes, rebases, resets, or other Git mutation.
- Test execution, remediation, deployment, rollback, teardown, installers, downloads, Docker, Kubernetes, EKS, AWS, cloud services, telemetry services, and FIS execution.
- Creation of any additional document, index, evidence file, diagram, or generated report.
REQUIRED OWNER-SUPPLIED FACTS
Before writing, retrieve and reconcile the complete owner-provided W6-002 results and approvals, including:
- Prompt ID: W6-002.
- Current approved source identity.
- Reviewer name and role, when supplied.
- Owner-executed test commands and their exact outcomes.
- Every PASS, FAIL, NOT RUN, and INDETERMINATE result.
- Accepted warnings, risks, evidence gaps, limitations, and deferrals.
- Deployment status.
- Rollback status.
- Teardown and cleanup status.
- Repository and external test-residue outcomes.
- Retained-tool status and identity.
- Security, privacy, cost, retention, and operational limitations.
- W6-003 integrated-readiness handover.
- W6-004 live AWS lifecycle handover.
- Any facts reserved for Final Owner Approval in Column N.
Never invent, infer, silently reconcile, upgrade, or normalize an owner result. Preserve historical failures and indeterminate results where they are relevant, even when a later approved remediation or rerun passed.
Explicitly distinguish:
- Local validation from live deployment.
- Configuration readiness from operational proof.
- Synthetic or provider-neutral testing from real AWS integration.
- Prometheus rule validation from live alert delivery.
- Planned FIS configuration from FIS execution.
- Local cleanup from cloud teardown.
- A retained approved tool from repository or test residue.
- Successful automated testing from production readiness.
DOCUMENT PREFLIGHT
Before making any edit:
1. Confirm that each CREATE path does not already exist.
2. Confirm that each UPDATE path exists and is readable.
3. Read the current content of every UPDATE path.
4. Confirm that all five paths are inside the approved documentation boundary.
5. Confirm that the available owner evidence is sufficient to document W6-002 without inference.
6. Confirm that the evidence identifies all relevant test results, warnings, limitations, deferrals, and lifecycle statuses.
7. Confirm that no requested statement would falsely claim live deployment, live AWS integration, alert delivery, FIS execution, rollback, teardown, or production readiness.
8. Confirm that no application code, configuration, IaC, schema, policy, test, dependency, Excel, or Git change is required.
9. Reconcile any earlier failed or indeterminate result with its later remediation and rerun without deleting the historical sequence.
10. Confirm that the five-path manifest remains complete and unchanged.
If a CREATE path already exists, an UPDATE path is missing, the boundary has changed, owner evidence conflicts, or truthful documentation would require inference, edit nothing and return exactly:
BLOCKED — COLUMN M DOCUMENTATION PREFLIGHT FAILED — W6-002.
AUTHORIZED DOCUMENT WRITING
After successful preflight, create or update only the five enumerated documentation paths.
Write in business-first language while preserving exact technical evidence. Each document must clearly identify its purpose, scope, evidence basis, limitations, and relationship to W6-003 and W6-004.
docs/test-evidence/W6-002.md
Create the authoritative W6-002 evidence record. Include:
- Task purpose and approved scope.
- Source identity and bounded change summary.
- Implemented observability, SLO, alerting, failure-response, security, privacy, cost, and lifecycle controls.
- Owner-executed TEST-001 sequence and exact results.
- Historical failures, approved remediations, and rerun outcomes.
- Promtool version, validation outcome, and retained-tool identity.
- Full-suite, lint, formatting, type-checking, secret-scan, hook, cleanup, and residue outcomes.
- Warnings, risks, evidence gaps, limitations, and deferrals.
- Deployment, rollback, teardown, and residual-resource status.
- Explicit statement that W6-002 establishes deployment readiness but does not prove live AWS/EKS deployment.
- W6-003 integrated-readiness inputs.
- W6-004 live-lifecycle inputs.
- A clearly marked Final Owner Approval section reserved for Column N.
docs/architecture/slo.md
Create the approved W6-002 SLO and observability architecture record. Include:
- Business objectives and service boundaries.
- Telemetry producers, consumers, signals, and connection flow.
- Approved schemas and compatibility boundaries.
- SLI populations, eligibility rules, exclusions, windows, targets, and NO_DATA behavior.
- Error-budget and burn-rate policy.
- Alert rules, ownership, and destination boundaries.
- Queue, batch, timeout, retry, cancellation, flush, shutdown, and drop behavior.
- Redaction, cardinality, tenant isolation, retention, private-connectivity, least-privilege, and cost controls.
- Local collector behavior and proposed AWS exporter topology.
- Clear separation between locally validated behavior and W6-004 live deployment.
- Risks, limitations, deferred work, and handover requirements.
- A clearly marked Final Owner Approval section reserved for Column N.
docs/test-evidence/W6-06-observability.json
Create a structured, machine-readable evidence record containing only verified W6-002 facts. Include:
- Schema version and task identity.
- Source identity.
- Test groups and exact statuses.
- Prometheus rule-validation facts.
- Security, privacy, cardinality, readiness, failure-mode, rollback, teardown, and residue results.
- Warnings, risks, evidence gaps, limitations, and deferrals.
- Deployment status.
- Rollback and teardown status.
- Retained-tool identity.
- W6-003 and W6-004 handover status.
- Column N fields represented as pending rather than approved.
The JSON must remain valid, deterministic, content-safe, and free of secrets or invented timestamps.
docs/test-evidence/W6-09-chaos.txt
Create the bounded failure-rehearsal and chaos-readiness record. Include:
- Provider-neutral failure scenarios that were locally tested.
- Exact owner-executed outcomes.
- Exporter outage or saturation behavior.
- Dependency unavailable or timeout behavior.
- Readiness degradation and restoration behavior.
- Retry-storm controls.
- Cleanup and residue results.
- The approved FIS plan boundary.
- Explicit statement that live FIS execution was NOT RUN.
- Risks, abort conditions, stop-alarm requirements, ownership, expiry, and cost constraints reserved for W6-004.
- A clearly marked Final Owner Approval section reserved for Column N.
docs/test-evidence/README.md
Update the evidence index to add W6-002 entries for all four newly created documents. Preserve all existing entries and conventions. Clearly label:
- The authoritative W6-002 evidence record.
- The SLO architecture record.
- The structured observability evidence.
- The failure-rehearsal and FIS-plan evidence.
- The distinction between local deployment readiness and live W6-004 lifecycle proof.
- Column N final-approval status as pending.
TRUTH-PRESERVATION REQUIREMENTS
Do not:
- Convert NOT RUN or INDETERMINATE to PASS.
- Remove a historical failure merely because remediation later passed.
- Describe planned configuration as deployed infrastructure.
- Describe a synthetic receiver as a live alert destination.
- Describe local rule validation as live alert delivery.
- Describe a FIS plan as an executed experiment.
- Describe local rollback tests as live AWS rollback.
- Describe local cleanup as AWS or EKS teardown.
- Claim production readiness, production SLO achievement, or live cloud validation.
- Infer owner approval, timestamps, cost acceptance, or operational evidence.
- Include secrets, tokens, credentials, protected content, or tenant data.
MANDATORY COLUMN M OUTPUT
After writing, return:
COLUMN M APPROVED DOCUMENT MANIFEST — W6-002
The manifest must contain exactly one row for each created or updated document, with these fields:
- Exact path.
- Classification: CREATE or UPDATE.
- Purpose.
- Owner results recorded.
- Risks and accepted warnings recorded.
- Evidence gaps and limitations recorded.
- Deployment status.
- Rollback status.
- Teardown and residual-resource status.
- Fields pending Column N.
- Location of the Final Owner Approval section.
- Column N closure requirement.
Also report:
- Expected manifest count: 5.
- Documents created.
- Documents updated.
- Documents unchanged, with reason.
- Missing or conflicting documents.
- Whether complete manifest reconciliation passed.
This five-document manifest becomes the complete mandatory scope for W6-002 Column N. Column N must close every manifest document together; an index update cannot substitute for closing an individual document.
Do not run commands or tests, deploy, remediate, roll back, tear down, edit Excel, mutate Git, or begin another prompt.
End exactly:
DOCUMENTATION READY FOR OWNER REVIEW — W6-002.</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</si>
  <si>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</si>
  <si>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</si>
  <si>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COLUMN L — COMPLETE-IMPACT CODE EDIT APPROVAL — W6-003
Pre-Deployment Integrated Readiness Proof, Local Rollback Rehearsal and W6-004 Handover
This approval authorizes only the bounded W6-003 code, configuration and automated-test edits listed below. It does not authorize documentation, Excel, test execution, service startup, Docker, model activity, AWS, ECR, EKS, deployment, rollback, teardown, evidence generation or Git mutation.
APPROVED BASELINE
Prompt ID: W6-003
Approved source identity:
ad943842cd0448a0d3db991707a1c2f1181a79c7
Expected branch:
main
Expected upstream:
origin/main
Expected ahead/behind:
0/0
Known excluded working-tree item:
docs/governance/~$Enterprise_AI_Architecture_6_Week_Execution_Tracker_v1.3.5.xlsx
The Excel lock file is owner/application state. Do not read, edit, delete, stage or otherwise modify it.
APPROVED TASK INTENT
Implement a deterministic, local and fail-closed W6-003 integrated-readiness contract that:
1. Composes the implemented Week 1 through W6-002 application contracts using deterministic local providers.
2. Proves API, authentication, authorization, retrieval, RAG, citations, abstention, guardrails, agent state, evaluation and observability composition.
3. Rehearses application-level local rollback using the existing W4 release descriptors and rollback controls.
4. Defines strict known-good application and infrastructure identity contracts for W6-004.
5. Produces validated commands and schemas for:
   - local-proof.json
   - local-rollback-rehearsal.json
   - w6-004-readiness-manifest.json
6. Enforces a stop gate preventing W6-004 from consuming incomplete, stale, expired, conflicting or tampered evidence.
7. Preserves every historical PASS, FAIL, NOT RUN, INDETERMINATE, warning, risk, accepted limitation, retained resource and deferred action.
8. Makes no claim of live AWS, ECR, EKS, OpenSearch, Bedrock, CloudWatch, X-Ray, FIS, deployment, rollback, teardown or production readiness.
APPROVED OWNER DECISIONS
The owner approves all of the following:
- Deterministic in-memory providers for W6-003.
- No Docker, Qdrant, telemetry service, Kubernetes or cloud-service startup.
- External evidence root:
  E:\AI\.runtime\enterprise_ai_platform\w6-003\owner-test-01
- Temporary root:
  E:\AI\.tmp\enterprise-ai-platform-w6-003\owner-test-01
- Retain only these generated W6-003 artifacts until W6-004 closure:
  - local-proof.json
  - local-rollback-rehearsal.json
  - w6-004-readiness-manifest.json
- Handover validity period: 24 hours.
- W6-004 Stage A promotion will establish the first live known-good application and infrastructure identities.
- AWS account 526338061652 and Region ap-southeast-1 remain historical/proposed values until separately reapproved in W6-004.
- Preserve all historical warnings, skipped and deselected tests, Bedrock limitations, cost limitations, KMS follow-up, billing lag and live NOT RUN activities.
- Change MVP-001 from Not Started to In Progress.
- Preserve all other active features as In Progress.
- Mark no feature Done.
- Use the approved schemas, canonicalization, redaction, failure, retention and cleanup rules below.
- Any additional required path, dependency, schema migration or secret-baseline finding stops Gate 2 and requires amended owner approval.
EXACT CODE EDIT BOUNDARY
CREATE — EXACTLY 11 PATHS
1. configs/readiness/w6-003.yaml
2. tools/w6_003_readiness.py
3. tests/fakes/readiness.py
4. tests/unit/test_w6_003_readiness.py
5. tests/contract/test_w6_003_readiness_contract.py
6. tests/integration/test_w6_003_platform_composition.py
7. tests/feature/test_w6_003_integrated_readiness.py
8. tests/smoke/test_w6_003_local_smoke.py
9. tests/security/test_w6_003_readiness_security.py
10. tests/rollback/test_w6_003_local_rollback.py
11. tests/teardown/test_w6_003_readiness_cleanliness.py
UPDATE — EXACTLY 9 PATHS
1. Makefile
2. pyproject.toml
3. feature-matrix.yaml
4. tools/platformctl/validate.py
5. tests/unit/test_platformctl.py
6. tests/feature/test_feature_matrix.py
7. tests/integration/test_dependency_contract.py
8. .github/workflows/ci.yml
9. tests/integration/test_w5_002_ci_composition.py
DELETE
None.
VERIFIED UNCHANGED
The following must remain unchanged:
- src/enterprise_ai_platform/**
- deploy/k8s/**
- infra/**
- policies/**
- configs/releases/**
- Existing evaluation, RAG and observability configuration except the exact new W6-003 configuration path.
- Existing W6-001 and W6-002 implementation files.
- Existing release descriptors.
- Requirements and lock files.
- .checkov.yml
- .pre-commit-config.yaml
- .secrets.baseline
- All documentation.
- All Excel workbooks and tracker fields.
- All paths not explicitly listed under CREATE or UPDATE.
Do not change .secrets.baseline during this approval. If a future scanner detects a candidate finding, stop and return the exact finding for separate owner approval.
BASELINE REVALIDATION — REQUIRED BEFORE EDITING
Immediately before editing:
1. Re-read every approved CREATE and UPDATE path.
2. Confirm source identity is exactly:
   ad943842cd0448a0d3db991707a1c2f1181a79c7
3. Confirm branch, upstream and ahead/behind remain as approved.
4. Classify every working-tree path.
5. Confirm no approved CREATE path unexpectedly exists.
6. Confirm every UPDATE path still has the inspected W6-002 baseline.
7. Confirm the only excluded owner/application file is the known Excel lock file.
8. Re-check every producer, consumer, imported symbol, schema version, workflow assertion and patch context.
9. Confirm no dependency or public business schema change has become necessary.
If any source identity, path, file content, symbol, schema, dependency, owner decision or patch context has changed, edit nothing and return exactly:
BLOCKED — BASELINE CHANGED
APPROVED IMPLEMENTATION CONTRACT
The implementation must provide:
1. Strict readiness configuration parsing.
2. Closed evidence schemas.
3. Deterministic canonical JSON serialization.
4. SHA-256 evidence identities.
5. UTC timestamps ending in Z.
6. A 24-hour evidence-expiry rule.
7. Duplicate-key, non-finite-number and unknown-field rejection.
8. Nested evidence identity verification.
9. Fail-closed behavior for absent, conflicting, expired or tampered evidence.
10. Explicit preservation of PASS, FAIL, NOT RUN, INDETERMINATE and NO_DATA.
11. No conversion of historical limitations into resolved or passed outcomes.
12. No network, subprocess, Docker or cloud activity during local validation.
13. Deterministic local providers only.
14. Bounded concurrency, deadlines, queues, retries and cleanup.
15. Cancellation propagation and retry-storm prevention.
16. Non-blocking telemetry-export failure.
17. Tenant, authorization and content-isolation verification.
18. Deterministic local application rollback rehearsal.
19. Exact W6-004 entry criteria and stop conditions.
20. Zero unapproved repository or external residue.
APPROVED SCHEMAS
Implement these exact schema identifiers:
- w6-003.local-proof.v1
- w6-003.local-rollback.v1
- w6-003.known-good-application.v1
- w6-003.known-good-infrastructure.v1
- w6-003.w6-004-handover.v1
w6-003.local-proof.v1 must record:
- Source identity.
- Configuration and component identities.
- Provider and composition mode.
- Test identifiers and exact classifications.
- Warnings, exclusions, limitations and deferrals.
- Explicit cloud deployment status of NOT RUN.
- Generation and expiry timestamps.
- Allowed output root and actual output root.
w6-003.local-rollback.v1 must record:
- Historical known-good and candidate release identities.
- Rollback trigger.
- Candidate rejection or failure condition.
- Restored application identity.
- Post-rollback smoke, security and evaluation outcomes.
- Elapsed duration.
- Cleanup and residue outcome.
- EKS rollback status of NOT RUN.
- Terraform rollback status of NOT RUN.
w6-003.known-good-application.v1 must record:
- Source composition identity.
- Historical W4 proof reference.
- ECR repository field.
- Registry-returned immutable digest field.
- Release-binding status.
- Promotion mode.
- Current absence of a live deployable known-good digest.
w6-003.known-good-infrastructure.v1 must record:
- Terraform and provider composition.
- Backend identity.
- State lineage and serial.
- Saved-plan hash.
- Policy and cost status.
- Promotion mode.
- Current absence of a live known-good infrastructure identity.
w6-003.w6-004-handover.v1 must record:
- Hashes and status summaries for all W6-003 evidence.
- Owner-approved decisions.
- Warnings, risks and limitations.
- NOT RUN and INDETERMINATE activities.
- Retained artifacts and deferred cleanup.
- Handover generation and expiry timestamps.
- W6-004 entry decision and stop reasons.
- Stage A known-good promotion requirement.
CANONICALIZATION AND PRIVACY
Canonical JSON must use:
- UTF-8.
- Sorted keys.
- Compact separators.
- One final newline.
- No duplicate keys.
- No NaN or infinite numbers.
- External SHA-256 identity rather than a self-referential hash.
Evidence must not contain:
- Credentials.
- Tokens.
- Passwords.
- Secrets.
- Prompt or response content.
- Retrieved passages.
- Customer or tenant content.
- Unbounded identifiers.
- Invented AWS identities.
- Claims of unexecuted deployment or testing.
DEPENDENCY AND RUNTIME BOUNDARY
- Add no new package or runtime dependency.
- Do not regenerate dependency locks.
- Use the existing Python 3.13 environment and repository dependencies.
- Add tools/w6_003_readiness.py to the repository-configured strict MyPy scope.
- Preserve the existing Ruff, Pytest, MyPy, Checkov, OPA, TFLint, Actionlint, secret-scan and pre-commit contracts.
- Do not weaken, skip or suppress a security or quality check merely to obtain a pass.
- A narrowly justified lint suppression is allowed only when it describes a non-security constant accurately and remains inside an approved path.
AUTOMATED TEST REQUIREMENTS
Implement positive and negative automated tests for:
- Configuration parsing and exact required fields.
- Closed-schema enforcement.
- Canonical evidence generation.
- Hash and nested-hash validation.
- Evidence expiry.
- Invalid timestamps.
- Unknown status values.
- PASS, FAIL, NOT RUN, INDETERMINATE and NO_DATA preservation.
- Evidence tampering and substitution.
- Output-root traversal and symlink rejection.
- Content, credential and tenant-data redaction.
- API authentication and authorization.
- Retrieval authorization and isolation.
- Safe answer with valid citations.
- Correct abstention.
- Guardrail rejection.
- Agent state and bounded execution.
- Retrieval, model and telemetry timeout behavior.
- Cancellation.
- Bounded retry behavior.
- Telemetry queue saturation and non-blocking exporter outage.
- Deterministic local smoke behavior.
- Candidate failure followed by local known-good restoration.
- Post-rollback smoke, security and evaluation checks.
- Background-task, file and temporary-directory cleanup.
- W6-004 handover completeness and stop-gate behavior.
- Historical warning and limitation preservation.
- Feature-matrix status and path ownership.
- CI and repository validation composition.
FEATURE-MATRIX REQUIREMENTS
Update feature-matrix.yaml and its exact tests so that:
- MVP-001 changes from Not Started to In Progress.
- W6-003 paths and validation steps are represented under the appropriate feature ownership.
- Existing feature ordering and cumulative ownership remain correct.
- All other active features remain In Progress.
- No feature is marked Done.
- No existing historical path or test ownership is silently removed.
- W6-004 remains the owner of live AWS lifecycle completion.
W6-004 HANDOVER CONTRACT
Encode the approved lifecycle:
bootstrap/state
→ network/security
→ data/services
→ ECR/image
→ EKS/identity
→ application composition
→ observability
→ live tests
→ rollback
→ complete teardown
→ residue/cost verification
W6-004 must stop before live deployment if:
- The W6-003 manifest is absent, expired or changed.
- Any nested hash differs.
- A mandatory W6-003 local gate is not PASS.
- Owner account, Region, profile, expiry or cost approval is absent.
- A fresh Terraform plan and matching current state are absent.
- The application image lacks an ECR registry-returned digest.
- W6-001 Stage B immutable release binding is absent.
- Policy, security, pricing, rollback or teardown coverage is incomplete.
- The rollback target is not an independently verified immutable identity.
W6-004 Stage A must establish and verify the first live known-good application and infrastructure identities before any Stage B rollback exercise.
PROHIBITED ACTIONS
Do not:
- Run any test, validator, formatter, linter or command.
- Start any process or service.
- Use Docker, Kubernetes, Qdrant, AWS, ECR, EKS, OpenSearch, Bedrock, CloudWatch, X-Ray or FIS.
- Generate the three external evidence files during Gate 2.
- Create the external runtime or temporary roots.
- Deploy, remediate, roll back or tear down anything.
- Download packages, providers, plugins, models or tools.
- Modify documentation.
- Modify the Excel tracker.
- Modify credentials or cloud configuration.
- Modify .secrets.baseline.
- Stage, commit, push, branch, stash or otherwise mutate Git.
- Remove existing W5 evidence, caches, images, tools or retained resources.
- Reuse a historical or consumed Terraform plan.
- Claim live, cloud, production or deployment readiness.
POST-EDIT REVIEW
After completing only the approved edits, return:
1. Baseline revalidation result.
2. Exact created paths.
3. Exact updated paths.
4. Confirmation of zero deleted paths.
5. Confirmation that every verified-unchanged and excluded path remained unchanged.
6. Producer-consumer-function-connection map.
7. Implemented schema and canonicalization map.
8. Dependency and public-schema impact.
9. Concurrency, timeout, retry, cancellation and shutdown behavior.
10. Security, privacy, cost and residue controls.
11. W6-004 Stage A and Stage B handover behavior.
12. Exact one-command-at-a-time TEST-001 sequence, including:
    - purpose;
    - prerequisites;
    - expected result;
    - access, privacy, cost and residue impact;
    - stop condition;
    - cleanup requirement.
13. Exact external evidence and temporary paths that owner testing may create.
14. Remaining NOT RUN and deferred activities.
15. Owner teach-back questions.
Do not claim that any test passed or that any evidence was generated during Gate 2.
If implementation requires any path, dependency, schema migration, baseline change or decision outside this approval, stop without making that additional change and request one consolidated amended approval.
End exactly:
CODE READY FOR OWNER TEST — W6-003.</t>
  </si>
  <si>
    <t>COLUMN M — EXACT DOCUMENT WRITING APPROVAL — W6-003
Pre-Deployment Integrated Readiness Proof, Local Rollback Rehearsal and W6-004 Handover
This is a separate Gate 3 owner approval after the bounded W6-003 implementation and owner-executed TEST-001. It authorizes documentation only. It does not authorize code, configuration, IaC, schema, automated-test, evidence, Excel, Git, deployment, rollback, teardown, cloud, service, container, registry or infrastructure changes.
AUTHORITATIVE OWNER-TESTED BASELINE
Prompt ID:
W6-003
Repository:
E:\AI\enterprise_ai_platform
Branch:
main
HEAD:
ad943842cd0448a0d3db991707a1c2f1181a79c7
Upstream:
origin/main
Ahead/behind:
0/0
Final W6-003 source-composition identity:
a85d7718eae66cf179d3bd26c7742ca71b4635153c46c66acdf7cb9a70bf3433
Owner-confirmed tracker SHA-256:
051504b1acf394d0dc268e3bf4a3487af95b7de5fb6fe0f98b1a5da960b30ccf
Approved secret-baseline SHA-256:
4fbc64d2ecae2978aa47e98c72a4a03e8f9a8ae0e0e04cadd126d7eca1b68453
Final full-suite result:
2088 passed, 7 skipped, 4 deselected, 1 retained warning
Final validation classification:
W6-003 INTEGRATED READINESS CONTRACT VALID — NOT DEPLOYED
Final identity verification:
TEST_001_44_RESULT=PASS
Final boundary and zero-residue verification:
TEST_001_45_RESULT=PASS
Repository residue:
0
Temporary test root:
Absent
Staged paths:
0
Final classified working-tree paths:
25
RETAINED EXTERNAL EVIDENCE
Evidence root:
E:\AI\.runtime\enterprise_ai_platform\w6-003\owner-test-01
1. local-proof.json
   SHA-256:
   981d76adc4cb89e72efff59324614fb7da4158725038f0c53db566b3e81c0185
   Bytes:
   4138
2. local-rollback-rehearsal.json
   SHA-256:
   cddc988df130b3ec4e9e1158d95d7c1e899e3c2fb0515f69185cdea75f0f565b
   Bytes:
   763
3. w6-004-readiness-manifest.json
   SHA-256:
   0abec9a23de6e20aadf57d93efeaab637a03da38b820c0dd870fcf275b753ba3
   Bytes:
   4610
Generated:
2026-10-02T06:44:56Z
Expires:
2026-10-03T06:44:56Z
2026-10-03 14:44:56 SGT
The expiry controls W6-004 handover consumption. Documentation must preserve the recorded generation, validation and expiry facts. It must never extend, regenerate or silently treat expired evidence as current.
EXACT DOCUMENTATION BOUNDARY
CREATE — EXACTLY FOUR PATHS
1. docs/test-evidence/W6-003.md
   Purpose:
   Consolidated W6-003 business outcome, implementation, owner testing, remediation history, risks, limitations, retained evidence and W6-004 handover record.
2. docs/test-evidence/W6-10-integrated-readiness.txt
   Purpose:
   Local integrated platform, SRE, policy, infrastructure, Kubernetes, supply-chain and quality-gate evidence for the pre-deployment portions of W6-10.
3. docs/test-evidence/W6-11-local-rollback.txt
   Purpose:
   Deterministic W4 application-release candidate rejection, local known-good restoration, post-rollback verification and cleanup evidence for the local portion of W6-11.
4. docs/test-evidence/W6-13-w6-004-handover.txt
   Purpose:
   Immutable W6-003 evidence identities, expiry, missing live known-good identities, W6-004 lifecycle, Stage A requirement and fail-closed entry criteria for the pre-deployment portion of W6-13.
UPDATE — EXACTLY ONE PATH
5. docs/test-evidence/README.md
   Current pre-edit SHA-256:
   c9ec1b6147ba4435b124e11afe274152ae09033cc246a152439adea827114932
   Current pre-edit bytes:
   128355
   Purpose:
   Add links and concise classifications for the four W6-003 evidence documents without changing or restructuring unrelated historical entries.
DELETE
None.
VERIFIED UNCHANGED
- All application source.
- All configuration and schemas.
- All automated tests.
- All Terraform, Kubernetes and policy files.
- All dependencies and lock files.
- .secrets.baseline.
- feature-matrix.yaml.
- Existing W6-001 and W6-002 documentation.
- Existing external W6-003 retained evidence.
- The Excel tracker.
- Every repository path not explicitly listed under CREATE or UPDATE.
EXCLUDED
- Every repository path not enumerated above.
- Application code, configuration, IaC, schemas, policies and automated tests.
- External evidence generation, regeneration, mutation or deletion.
- Excel tracker edits.
- Git staging, commit, push or other mutation.
- Docker, image build, registry or ECR activity.
- AWS, EKS, Kubernetes, OpenSearch, Bedrock, CloudWatch, X-Ray or FIS activity.
- Deployment, live testing, cloud rollback, infrastructure rollback or cloud teardown.
- W6-004 execution.
- Weekly learning documentation.
- Any new ADR, architecture document, feature document, runbook, deployment record, rollback record or cleanliness record not listed above.
DOCUMENT PREFLIGHT — REQUIRED BEFORE WRITING
1. Re-read all five approved documentation paths and their parent directory.
2. Confirm the four CREATE paths remain absent.
3. Confirm docs/test-evidence/README.md exists and matches its approved SHA-256.
4. Confirm the repository baseline, branch, upstream and ahead/behind remain as recorded.
5. Confirm no path is staged.
6. Confirm the owner-confirmed tracker and secret-baseline identities still match.
7. Confirm the three retained evidence files exist with exactly the approved filenames, hashes and byte counts.
8. Confirm the retained evidence root contains no additional file or directory.
9. Confirm the final W6-003 source-composition identity still matches.
10. Confirm TEST-001-44 and TEST-001-45 remain the final identity and cleanliness results.
11. Confirm no unexpected code, test, evidence, tracker or working-tree drift occurred.
12. If the handover has expired, preserve that fact and the resulting W6-004 stop condition; do not regenerate evidence under Column M.
If any path is missing, unexpectedly present, unreadable, changed, conflicting or outside the approved boundary, edit nothing and return exactly:
BLOCKED — COLUMN M DOCUMENTATION PREFLIGHT FAILED — W6-003.
DOCUMENTATION RULES
1. Write only the five manifest paths.
2. Use business-first language while preserving exact technical evidence.
3. Record PASS, FAIL, NOT RUN, INDETERMINATE and NO_DATA exactly.
4. Preserve every historical failure and owner-approved remediation; do not imply that all commands passed initially.
5. Do not convert a skipped, deselected, warning, NOT RUN or NO_DATA result into PASS.
6. Distinguish deterministic fake/local testing from live service integration.
7. Distinguish local application rollback from EKS and Terraform rollback.
8. Distinguish cleanup of local test and Terraform runtime residue from cloud teardown.
9. Do not claim deployed, production-ready, live-cloud-ready or live-rollback-proven status.
10. Do not present historical AWS account, Region, plans, state or destroyed infrastructure as current W6-004 authorization.
11. Do not include credentials, tokens, prompts, responses, retrieved content, tenant content, private endpoints or sensitive identifiers.
12. Do not run commands, tests, validators, formatters, scanners, services or cloud operations.
13. Do not edit the tracker or mutate Git.
14. Every document must include a `Final Owner Approval` section marked:
    PENDING — NOT YET APPROVED
15. Tracker update responsibility must be recorded as:
    Owner
REQUIRED CONTENT — docs/test-evidence/W6-003.md
Document:
- W6-003 business objective and pre-deployment architecture role.
- Relationship to Weeks 1–5, W6-001, W6-002 and W6-004.
- Exact implementation scope and deterministic-provider boundary.
- The five evidence schema identifiers:
  - w6-003.local-proof.v1
  - w6-003.local-rollback.v1
  - w6-003.known-good-application.v1
  - w6-003.known-good-infrastructure.v1
  - w6-003.w6-004-handover.v1
- Canonical JSON, SHA-256, closed-schema, duplicate-key, non-finite-number, expiry, path and nested-identity controls.
- Final source, tracker and secret-baseline identities.
- Owner-executed TEST-001 sequence and final classifications.
- Final complete-suite result.
- Ruff, MyPy, secret scan and pre-commit results.
- Terraform, TFLint, Checkov, OPA, Actionlint and Promtool results.
- Checkov skips:
  - Terraform: 20
  - Kubernetes: 1
- Retained Starlette `BlockingPortal` deprecation warning.
- Terraform filesystem-mirror provider authentication warning.
- Complete remediation history, including:
  - initial W6-003 telemetry-composition failure and correction;
  - Terraform executable-version and provider-mirror path corrections;
  - TFLint plugin-environment correction;
  - Terraform OPA exception-input correction;
  - Ruff lint, formatting and loader-safety corrections;
  - Excel lock `UNSAFE_PATH` secret-scan failure;
  - two reviewed non-secret source-baseline findings;
  - secret-baseline inventory and protected-identity reconciliation;
  - Terraform runtime-directory cleanup;
  - initial complete-suite failures;
  - focused test-node selection classified NOT RUN;
  - tracker, feature-matrix and governance-identity reconciliation;
  - final complete-suite, pre-commit, evidence and zero-residue passes.
- Explicit historical FAIL and NOT RUN preservation.
- Exact retained evidence identities, sizes, generated time and expiry.
- Deployment, rollback, teardown and residual-resource facts.
- W6-004 Stage A/Stage B separation.
- Final classification:
  W6-003 INTEGRATED READINESS CONTRACT VALID — NOT DEPLOYED
- `Final Owner Approval`:
  PENDING — NOT YET APPROVED
REQUIRED CONTENT — docs/test-evidence/W6-10-integrated-readiness.txt
Document:
- Deterministic integration of API, authentication, authorization, retrieval, RAG, citation, abstention, guardrails, agent control, evaluation and telemetry.
- Synthetic, content-free and non-sensitive test boundary.
- Bounded concurrency, timeout, cancellation, queue, retry, flush and shutdown behavior.
- Local readiness, smoke, security, isolation and failure-mode outcomes.
- W4, W6-001 and W6-002 regression results.
- Terraform static validation.
- TFLint, Checkov and OPA results.
- Kubernetes source-template and policy validation.
- CI, dependency, feature-matrix and repository-contract validation.
- Promtool validation:
  13 rules found successfully.
- Complete pytest result:
  2088 passed, 7 skipped, 4 deselected, 1 warning.
- Local deterministic readiness:
  PASS
- Live OpenSearch:
  NOT RUN
- Live Bedrock:
  NOT RUN
- AWS infrastructure creation:
  NOT RUN
- ECR publication:
  NOT RUN
- EKS deployment:
  NOT RUN
- Cloud observability and alerts:
  NOT RUN
- Live FIS:
  NOT RUN
- Minimum live SLO population:
  NO_DATA
- `Final Owner Approval`:
  PENDING — NOT YET APPROVED
REQUIRED CONTENT — docs/test-evidence/W6-11-local-rollback.txt
Document:
- Historical known-good release:
  w4-known-good-v1
- Synthetic regression candidate:
  w4-synthetic-regression-v1
- Rollback trigger:
  expected-local-regression
- Candidate status:
  FAIL
- Local known-good restoration:
  PASS
- Post-restoration smoke:
  PASS
- Post-restoration security:
  PASS
- Post-restoration evaluation:
  PASS
- Local cleanup:
  PASS
- Local residue:
  PASS
- Deterministic elapsed contract value:
  1.0 seconds
- Explain that the elapsed value is deterministic local contract evidence, not live cloud rollback timing.
- Restored historical W4 application identity exactly as recorded in retained evidence.
- EKS rollback:
  NOT RUN
- Terraform rollback:
  NOT RUN
- Cloud service rollback:
  NOT RUN
- Complete AWS teardown:
  NOT RUN
- Explain why rollback differs from teardown.
- Explain why destroyed W5 state and consumed/historical plans cannot be used as W6-004 rollback targets.
- `Final Owner Approval`:
  PENDING — NOT YET APPROVED
REQUIRED CONTENT — docs/test-evidence/W6-13-w6-004-handover.txt
Document:
- Exact paths, hashes and byte counts for all three retained evidence files.
- Generated and expiry timestamps in UTC and SGT.
- Final W6-003 source-composition identity.
- Configuration, component, Terraform-composition and provider-lock identities exactly as recorded in retained evidence.
- Current application known-good status:
  MISSING
- Current live ECR immutable digest:
  Absent
- W6-001 Stage B release binding:
  NOT RUN
- Current live infrastructure known-good status:
  MISSING
- Backend identity:
  Absent
- State lineage and serial:
  Absent
- Saved plan:
  Absent
- Live policy and cost status:
  NOT RUN
- W6-004 entry decision:
  BLOCKED_PENDING_W6_004_STAGE_A
- Stage A must establish the first live known-good application and infrastructure identities.
- Required lifecycle:
  bootstrap/state
  → network/security
  → data/services
  → ECR/image
  → EKS/identity
  → application composition
  → observability
  → live tests
  → rollback
  → complete teardown
  → residue/cost verification
- Every fail-closed W6-004 stop reason from the retained handover.
- Historical AWS account and Region remain historical/proposed until W6-004 reapproval.
- W5 cost limitations, KMS follow-up and delayed billing reconciliation remain open.
- Evidence expiry blocks W6-004 consumption unless a freshly authorized evidence cycle is completed.
- Exactly three external evidence files remain intentionally retained until W6-004 closure.
- `Final Owner Approval`:
  PENDING — NOT YET APPROVED
REQUIRED CONTENT — docs/test-evidence/README.md
Preserve all unrelated historical entries and structure.
Add links and concise classifications for:
- W6-003 consolidated evidence
- W6-10 integrated-readiness evidence
- W6-11 local-rollback evidence
- W6-13 W6-004 handover evidence
The index must state:
- W6-003 deterministic local owner testing:
  PASS
- Final classification:
  W6-003 INTEGRATED READINESS CONTRACT VALID — NOT DEPLOYED
- Complete pytest:
  2088 passed, 7 skipped, 4 deselected, 1 warning
- Retained external evidence:
  3 files
- Repository residue:
  0
- Live AWS/ECR/EKS activity:
  NOT RUN
- Live deployment, cloud rollback and cloud teardown:
  NOT RUN
- W6-004 entry:
  BLOCKED_PENDING_W6_004_STAGE_A
- Column N final owner approval:
  PENDING
MANDATORY COLUMN M OUTPUT
Return:
COLUMN M APPROVED DOCUMENT MANIFEST — W6-003
Provide one row per document with:
- Exact path
- Classification: CREATE or UPDATE
- Purpose
- Owner results recorded
- Historical failures/remediations recorded
- Warnings and risks
- Evidence gaps
- Deployment status
- Rollback status
- Teardown and residue status
- Retained evidence references
- Fields pending Column N
- `Final Owner Approval` section location
- Column N closure requirement
- Final SHA-256
- Byte count
- Confirmation that no out-of-manifest path changed
Report these totals:
CREATED_PATH_COUNT=4
UPDATED_PATH_COUNT=1
DELETED_PATH_COUNT=0
OUT_OF_MANIFEST_PATH_COUNT=0
CODE_CONFIG_IAC_SCHEMA_TEST_CHANGE_COUNT=0
EXTERNAL_EVIDENCE_CHANGE_COUNT=0
TRACKER_CHANGE_COUNT=0
GIT_MUTATION_COUNT=0
COMMAND_OR_TEST_RUN_COUNT=0
COLUMN_N_FINAL_OWNER_APPROVAL=PENDING
The five-row manifest is the complete mandatory Column N closure scope. An index update never substitutes for closing each individual document.
End exactly:
DOCUMENTATION READY FOR OWNER REVIEW — W6-003.</t>
  </si>
  <si>
    <t xml:space="preserve">COLUMN L — COMPLETE-IMPACT CODE EDIT APPROVAL — W6-004
Full AWS Infrastructure, Services and EKS Application Lifecycle Readiness
This is an exact, bounded owner Code Edit Approval under CTRL-001 v1.3.5. It authorizes repository code/configuration/IaC/schema/policy/automated-test edits only. It does not authorize commands, tests, installation, downloads, Docker, Terraform initialization/planning/apply/destroy, AWS/ECR/EKS access, Kubernetes access, deployment, rollback, teardown, evidence generation, documentation, Excel edits, or Git mutation.
TASK IDENTITY
- Prompt ID: W6-004
- Outcome: Full AWS infrastructure, services and EKS application lifecycle readiness
- Approved lifecycle:
  bootstrap/state → network/security → data/services → ECR/image → EKS/identity → application composition → observability → live tests → application rollback → infrastructure rollback → complete teardown → residue/cost verification
- Repository: E:\AI\enterprise_ai_platform
- Approved branch: main
- Approved baseline HEAD: 2e6d67fed71233904e0a659a48aa5e8a4d1aab4c
- Approved path boundary: 26 CREATE, 57 UPDATE, 0 DELETE
- W6-001, W6-002 and W6-003 remain final-approved upstream contracts.
- Historical W5 evidence remains read-only historical evidence.
- The owner-controlled Excel workbook and its temporary lock file are excluded from the baseline, drift, cleanliness and edit boundary. Their presence, absence, hash, timestamp or owner modification must not block W6-004.
- Unrelated owner changes outside the approved paths must be preserved and do not block W6-004 unless they change an approved producer, consumer, schema, dependency, runtime contract or patch context.
APPROVED OWNER DECISIONS
1. Use sandbox AWS account 526338061652, Region ap-southeast-1 and environment name sandbox.
2. Require a fresh short-lived SSO/federated administration role. Do not reuse the expired finopsinfra administration boundary.
3. Require KMS-tail and delayed-billing discovery before replacement creation.
4. Create or reconcile only project-owned resources after native ownership discovery.
5. Preserve separate bootstrap and platform Terraform roots, state lineages, locking, encryption and versioning.
6. Maximum governance validity is 24 hours; the approved mutation window is at most 8 hours.
7. Keep application workloads private. EKS API access may be temporarily restricted to the owner’s exact /32 after that value is supplied and approved.
8. Do not create public application ingress, an application load balancer, public DNS or a certificate. Live application testing uses an in-cluster Job against the ClusterIP Service.
9. Add approved private endpoints for EC2, EKS Auth, CloudWatch Monitoring and X-Ray. Add SSM endpoints only if the owner later selects the SSM administration path. No NAT is approved.
10. Preserve the bounded W5 KMS/CloudWatch Logs policy contract. Do not broaden its principal, actions or encryption-context boundary without a separate approval.
11. Use VPC CIDR 10.60.0.0/16 and the existing two-private-subnet design only if discovery proves no collision.
12. Treat S3, OpenSearch, four managed log groups, ECR, project IAM and EKS as project-owned. Shared or service-linked resources remain excluded unless separately approved.
13. Use synthetic PUBLIC/INTERNAL data only. PII, customer data and production-confidential data are prohibited.
14. Rebuild the application image from the current approved source. Do not promote the historical OCI image as the W6-004 candidate.
15. Vulnerability gate: zero Critical findings. Every High finding requires explicit owner review and a separate waiver before registry publication.
16. Require SPDX and CycloneDX SBOMs, provenance, image-composition evidence and registry-returned digest verification. Cryptographic signing remains deferred unless separately approved.
17. Use one managed on-demand EKS node group across two Availability Zones with minimum 2, desired 2 and maximum 3 nodes. The exact Kubernetes version and instance type remain owner-bound discovery inputs.
18. Require pinned compatible versions of VPC CNI, CoreDNS, kube-proxy, EKS Pod Identity Agent and Metrics Server.
19. Implement a bounded signed synthetic sandbox test-token contract. It must be explicitly classified as non-production authentication.
20. Use separate ingestion and runtime Pod Identity roles. Ingestion may initialize the approved index; runtime receives query-only access.
21. Bedrock model and inference-profile identities remain owner-bound until current access, quota, Region and pricing discovery.
22. Deploy the approved W6-002 AWS telemetry design: pod-local OTLP ingress, X-Ray traces, CloudWatch EMF metrics and safe logs, with 14-day retention.
23. Implement an SNS/alert destination interface, but do not hard-code recipient identities. Primary and backup destinations are owner-bound TEST-001 inputs.
24. Preserve W6-002 SLO targets as sandbox review targets, not proven production SLOs.
25. Support one bounded pod-deletion resilience exercise only after health and stop alarms pass. FIS execution requires a separate owner TEST-001 approval.
26. Require a fresh total lifecycle cost ceiling and per-stage limits before paid actions. Do not reuse the historical USD 3 boundary or waiver.
27. The first fully verified W6-004 application digest becomes the application last-known-good identity. A separate approved safe regression must precede rollback proof.
28. The first fully verified W6-004 infrastructure contract becomes the infrastructure last-known-good identity. Infrastructure rollback uses a distinct saved plan after a safe approved node-capacity regression.
29. Final teardown removes project-owned ECR images, synthetic S3 objects, OpenSearch indexes, Kubernetes objects and exact versioned state objects.
30. Expected residuals are limited to retained evidence, explicitly shared/external resources, KMS keys while PendingDeletion and delayed billing records.
31. KMS and billing follow-up remains owner-controlled at the deletion date and approved delayed-billing intervals.
32. Approved external evidence root:
    E:\AI\.runtime\enterprise_ai_platform\w6-004\owner-test-01
33. Approved temporary root:
    E:\AI\.tmp\enterprise-ai-platform-w6-004\owner-test-01
34. Reserve docs/resource-cleanliness/W6-final.json for the later W6-004 Column M documentation gate.
OWNER-BOUND VALUES — DO NOT GUESS OR HARD-CODE
The following values are deliberately unresolved at code-edit time:
- Exact AWS CLI profile name.
- Exact federated principal ARN.
- Exact owner public IPv4 /32 for temporary EKS API access.
- Exact deployment start time and expiry.
- Exact total lifecycle cost ceiling.
- Exact bootstrap, platform, image, EKS, OpenSearch, observability, resilience and teardown stage limits.
- Exact EKS Kubernetes version.
- Exact managed node instance type.
- Exact compatible managed add-on versions.
- Exact pinned Metrics Server version and image digest.
- Exact pinned OpenTelemetry Collector version and image digest.
- Exact kubectl and Kustomize versions.
- Exact Bedrock model ID and inference-profile identity.
- Exact primary and backup alert recipients.
- Exact current scanner database identities.
- Exact registry-returned image digest.
- Exact application and infrastructure last-known-good identities.
- Exact state lineage and serial values.
- Exact plan, policy, cost, approval and evidence hashes.
Tracked source configuration must represent these values using closed, deliberately non-executable sentinels or required external-runtime fields. It must fail closed until an owner-authorized TEST-001 command supplies and validates the exact value. No realistic-looking defaults are permitted.
BASELINE REVALIDATION
Immediately before editing:
1. Re-read every approved CREATE and UPDATE path.
2. Re-read every direct producer, consumer, import, test expectation, Terraform module edge, Kubernetes resource reference and schema consumer affected by this manifest.
3. Confirm HEAD remains 2e6d67fed71233904e0a659a48aa5e8a4d1aab4c.
4. Ignore the owner-controlled tracker workbook and temporary lock completely.
5. Preserve unrelated owner changes outside this manifest.
6. If an approved path, producer, consumer, schema, dependency, source contract or patch context has changed, edit nothing and return exactly:
BLOCKED — BASELINE CHANGED
EXACT CREATE BOUNDARY — 26 PATHS
Infrastructure and lifecycle configuration:
1. configs/lifecycle/w6-004.json
2. infra/modules/eks/main.tf
3. infra/modules/eks/variables.tf
4. infra/modules/eks/outputs.tf
5. infra/modules/observability/main.tf
6. infra/modules/observability/variables.tf
7. infra/modules/observability/outputs.tf
Kubernetes and application composition:
8. deploy/k8s/namespace.yaml
9. deploy/k8s/otel-collector-configmap.yaml
10. src/enterprise_ai_platform/api/aws_composition.py
11. src/enterprise_ai_platform/api/sandbox_auth.py
12. tools/platformctl/image_lifecycle.py
13. tools/platformctl/kubernetes_lifecycle.py
14. tools/platformctl/live_validation.py
Offline fixtures and automated tests:
15. tests/fakes/w6_004_lifecycle.py
16. tests/fixtures/w6_004/provider-computed-shapes.json
17. tests/fixtures/w6_004/partial-apply-inventory.json
18. tests/fixtures/w6_004/native-resource-inventory.json
19. tests/unit/test_w6_004_lifecycle.py
20. tests/contract/test_w6_004_lifecycle_contract.py
21. tests/integration/test_w6_004_platform_composition.py
22. tests/feature/test_w6_004_full_lifecycle.py
23. tests/smoke/test_w6_004_live_smoke.py
24. tests/security/test_w6_004_lifecycle_security.py
25. tests/rollback/test_w6_004_full_rollback.py
26. tests/teardown/test_w6_004_cleanliness.py
EXACT UPDATE BOUNDARY — 57 PATHS
Terraform environment and modules:
1. infra/environments/sandbox/main.tf
2. infra/environments/sandbox/variables.tf
3. infra/environments/sandbox/outputs.tf
4. infra/environments/sandbox/terraform.tfvars.example
5. infra/modules/network/main.tf
6. infra/modules/network/variables.tf
7. infra/modules/network/outputs.tf
8. infra/modules/iam/main.tf
9. infra/modules/iam/variables.tf
10. infra/modules/iam/outputs.tf
Kubernetes source template:
11. deploy/k8s/kustomization.yaml
12. deploy/k8s/deployment.yaml
13. deploy/k8s/configmap.yaml
14. deploy/k8s/networkpolicy.yaml
15. deploy/k8s/serviceaccount.yaml
Application and runtime composition:
16. src/enterprise_ai_platform/app.py
17. src/enterprise_ai_platform/config.py
18. src/enterprise_ai_platform/api/dependencies.py
19. src/enterprise_ai_platform/api/runtime.py
20. src/enterprise_ai_platform/retrieval/adapters/opensearch.py
21. src/enterprise_ai_platform/telemetry/runtime.py
W6-001 immutable release binding:
22. tools/w6_001_k8s.py
Lifecycle orchestration:
23. tools/platformctl/cli.py
24. tools/platformctl/contracts.py
25. tools/platformctl/lifecycle_models.py
26. tools/platformctl/plan.py
27. tools/platformctl/deploy.py
28. tools/platformctl/rollback.py
29. tools/platformctl/destroy.py
30. tools/platformctl/aws_live.py
31. tools/platformctl/aws_inventory.py
32. tools/platformctl/verify_clean.py
33. tools/platformctl/validate.py
Policy, observability and failure controls:
34. policies/opa/terraform_plan.rego
35. policies/opa/terraform_plan_test.rego
36. policies/opa/kubernetes.rego
37. policies/opa/kubernetes_test.rego
38. configs/observability/otel-collector.aws.yaml
39. configs/observability/slo.yaml
40. configs/chaos/fis-plan.yaml
CI, quality and feature composition:
41. .github/workflows/ci.yml
42. .github/workflows/plan-sandbox.yml
43. .github/workflows/security-scan.yml
44. Makefile
45. feature-matrix.yaml
46. tests/feature/test_feature_matrix.py
47. tests/integration/test_w5_004_lifecycle_composition.py
48. tests/integration/test_w6_001_kubernetes_composition.py
49. tests/integration/test_w6_002_telemetry_composition.py
50. tests/integration/test_w6_003_platform_composition.py
51. tests/security/test_policy_pack.py
W6-001 regression coverage affected by the extended release contract:
52. tests/unit/test_w6_001_k8s.py
53. tests/contract/test_w6_001_k8s_contract.py
54. tests/feature/test_w6_001_eks.py
55. tests/security/test_w6_001_kubernetes_security.py
56. tests/rollback/test_w6_001_kubernetes_rollback.py
57. tests/teardown/test_w6_001_kubernetes_cleanliness.py
DELETE BOUNDARY
- None.
VERIFIED UNCHANGED
The following remain outside the write boundary and must be preserved:
- infra/bootstrap/main.tf
- infra/bootstrap/variables.tf
- infra/bootstrap/outputs.tf
- infra/bootstrap/versions.tf
- infra/environments/sandbox/versions.tf
- infra/environments/sandbox/backend.hcl.example
- infra/modules/kms/*
- infra/modules/opensearch/*
- infra/modules/storage/*
- infra/modules/secrets/*
- infra/modules/ecr/*
- deploy/k8s/service.yaml
- deploy/k8s/hpa.yaml
- deploy/k8s/pdb.yaml
- docker/application.Dockerfile
- requirements.txt
- requirements-runtime.lock
- requirements-ci.lock
- requirements-dev.txt
- requirements-checkov.txt
- requirements-checkov.lock
- pyproject.toml
- configs/lifecycle/w5-004.json
- configs/observability/otel-collector.local.yaml
- configs/verification/bedrock-owner-test.json
- observability/alerts.yml
- observability/dashboards/enterprise-ai-overview.json
- .secrets.baseline
- All W5, W6-001, W6-002 and W6-003 final documentation and historical evidence.
- All repository paths not listed under CREATE or UPDATE.
If implementation would require changing a VERIFIED UNCHANGED path, introducing another path, changing a dependency, changing a lock file or editing the secret baseline, stop without that change and request one consolidated amended approval.
MANDATORY IMPLEMENTATION CONTRACT
1. Source lifecycle configuration
Implement configs/lifecycle/w6-004.json as a closed source contract that:
- Identifies W6-004, account 526338061652, Region ap-southeast-1 and sandbox.
- Records the approved lifecycle ordering and ownership boundaries.
- Records maximum 24-hour governance validity and maximum 8-hour mutation window.
- Records VPC CIDR 10.60.0.0/16 and the approved two-private-subnet topology.
- Prohibits NAT and public application ingress.
- Records node group minimum 2, desired 2 and maximum 3.
- Records synthetic data classification, retention, rollback and teardown rules.
- Records the zero-Critical vulnerability gate and separate High-finding waiver requirement.
- Records platform-first/bootstrap-last teardown.
- Records allowed expected residual classes.
- Uses exact invalid sentinels for all unresolved owner-bound runtime values.
- Is classified as a source lifecycle contract, not a deployment input.
- Cannot be consumed for AWS or Kubernetes mutation until an external owner-bound runtime package replaces every sentinel and passes validation.
2. Closed evidence schemas
Implement closed schemas and validation for:
- w6-004.discovery.v1
- w6-004.inputs.v1
- w6-004.plan.v1
- w6-004.normalized-plan.v1
- w6-004.opa.v1
- w6-004.cost.v1
- w6-004.approval.v1
- w6-004.apply.v1
- w6-004.partial-apply.v1
- w6-004.image.v1
- w6-004.vulnerability-scan.v1
- w6-004.sbom.v1
- w6-004.provenance.v1
- w6-004.release-binding.v1
- w6-004.deployment.v1
- w6-004.live-test.v1
- w6-004.application-rollback.v1
- w6-004.infrastructure-rollback.v1
- w6-004.destroy.v1
- w6-004.residue.v1
- w6-004.billing.v1
- w6-004.closure.v1
Every schema must:
- Reject unknown keys, duplicate keys, non-finite numbers and malformed identities.
- Use canonical UTF-8 JSON with stable key ordering, compact separators and terminal newline.
- Bind task, operation ID/type, source identity, input identity, account, Region, principal, environment, creation time, expiry, approval identity, output root and evidence hash.
- Bind Terraform version, provider-lock identity, state lineage/serial and saved-plan identities when applicable.
- Bind image, scanner database, SBOM, provenance, registry digest and release identities when applicable.
- Bind cluster, Kubernetes version, namespace, ServiceAccount, Pod Identity, workload and running-digest identities when applicable.
- Preserve PASS, FAIL, NOT RUN, INDETERMINATE and NO_DATA as distinct values.
- Contain metadata only and reject credential, secret, token, kubeconfig, private-key, state-secret and protected-content fields.
- Enforce single-use plan and approval semantics.
- Invalidate downstream approval on source, input, state, account, Region, principal, deadline or artifact drift.
3. Terraform EKS implementation
The new EKS module and sandbox composition must prepare:
- A project-owned EKS control plane.
- Encryption using the approved project KMS boundary.
- Control-plane logging.
- Approved public/private API endpoint settings with owner-bound /32 restriction.
- No public application ingress.
- One managed on-demand node group spanning the approved private subnets.
- Minimum 2, desired 2 and maximum 3 nodes.
- Owner-bound exact instance type and Kubernetes version.
- Managed VPC CNI, CoreDNS, kube-proxy and Pod Identity Agent versions supplied through validated external inputs.
- Metrics Server as a separately pinned Kubernetes artifact.
- Exact cluster, node, deployment, runtime and ingestion IAM boundaries.
- EKS access entries or equivalent approved administration controls.
- Runtime and ingestion Pod Identity associations.
- Least-privilege outputs required by deployment, verification, rollback and teardown.
- Ownership tags, expiry tags and cost-allocation tags.
- No Kubernetes provider dependency inside the Terraform platform apply.
- No silent shared-resource adoption.
4. Network and endpoint implementation
Extend the existing private network contract to include only approved endpoints:
- S3
- DynamoDB
- ECR API
- ECR DKR
- EKS
- EKS Auth
- STS
- EC2
- KMS
- Secrets Manager
- CloudWatch Logs
- CloudWatch Monitoring
- X-Ray
- Bedrock Runtime
Requirements:
- No NAT gateway.
- No unintended Internet route.
- No public application ingress.
- Endpoint security groups use bounded VPC/private-subnet access.
- SSM, EC2 Messages and SSM Messages endpoints remain absent unless a later owner approval selects the SSM administration path.
- Endpoint additions must have policy, cost and teardown coverage.
- Network outputs must support application, telemetry and verification consumers without exporting secrets.
5. IAM, trust and Pod Identity
Implement:
- Separate cluster, node, deployment, runtime, ingestion, observability and bounded resilience roles as required.
- Separate runtime and ingestion Pod Identity associations.
- Runtime query-only OpenSearch permissions.
- Ingestion permissions restricted to approved index initialization and synthetic data.
- Bedrock invocation restricted to the owner-bound approved model/inference profile.
- S3 and KMS permissions restricted to approved resources/actions.
- No static AWS credentials in images, manifests, configuration or evidence.
- Negative permission contracts for unauthorized OpenSearch writes, unrelated S3 access, unrelated KMS use and unapproved Bedrock models.
- No reuse of the expired finopsinfra administration boundary.
- Owner-bound administration principal supplied externally.
- Shared and service-linked roles discovered and excluded from destruction unless explicitly project-owned.
6. Observability and bounded resilience
The observability module and W6-002 configuration must prepare:
- Pod-local OTLP ingress.
- X-Ray trace export.
- CloudWatch EMF metrics.
- CloudWatch safe-log export.
- Four approved encrypted managed application/OpenSearch log groups plus required EKS/observability groups.
- Fourteen-day default retention where approved.
- Content-safe, tenant-safe, low-cardinality telemetry.
- Bounded memory, queue, batch, retry, timeout, flush and shutdown behavior.
- CloudWatch dashboard and alarms derived from the approved W6-002 review targets.
- SNS topic/routing interfaces with no recipient identity stored in tracked source.
- Primary and backup recipients supplied only as owner-bound external inputs.
- Deployment, dependency, rollback, teardown and cost signals.
- An optional bounded FIS pod-deletion experiment contract with one target, mandatory stop alarms, explicit duration, expiry and cost boundary.
- FIS remains non-executable and NOT RUN until a separate owner TEST-001 approval.
7. Application AWS composition
Implement an explicit AWS sandbox composition root that:
- Leaves existing deterministic local/test composition intact.
- Constructs the approved OpenSearch client with AWS SigV4 and Pod Identity credentials.
- Constructs the approved Bedrock client only after exact model and inference-profile validation.
- Composes the existing API, RAG/retrieval, storage, telemetry and readiness contracts.
- Implements bounded timeouts, retries, cancellation and shutdown.
- Fails readiness when required dependencies or identity contracts are unavailable.
- Does not log prompts, retrieved content, tokens, secrets, embeddings or protected tenant content.
- Does not silently fall back from AWS services to fake/local providers.
- Fails closed when any owner-bound runtime sentinel remains.
- Preserves existing public business schemas unless an explicitly approved compatible extension is required.
8. Synthetic sandbox authentication
Implement a bounded signed test-token contract that:
- Is explicitly named and classified as sandbox/non-production authentication.
- Uses approved cryptographic primitives already available in the locked dependency set or Python standard library.
- Does not add a new dependency.
- Does not contain a signing key, shared secret, token or realistic credential in tracked files.
- Receives verification material through approved secret delivery.
- Validates issuer, audience, subject, tenant, issued-at, not-before, expiry, token identifier and allowed classification.
- Rejects unsigned, expired, future, wrong-audience, wrong-issuer, wrong-tenant and malformed tokens.
- Produces the existing AuthContext contract without changing public API schemas.
- Supports deterministic tests using non-secret fixture keys or generated test-only values.
- Is never described as production identity readiness.
9. Kubernetes source template and release binding
Extend the Kubernetes source template to include:
- Namespace.
- API workload.
- Pod-local OpenTelemetry Collector sidecar.
- Immutable application-image sentinel.
- Immutable collector-image sentinel.
- Non-secret configuration.
- Secret references only, never values.
- Runtime ServiceAccount.
- Restricted security contexts for every container.
- Read-only filesystems where supported.
- Dropped Linux capabilities.
- Resource requests and limits.
- Existing probes, HPA and PDB.
- ClusterIP Service only.
- Default-deny ingress and egress.
- DNS egress.
- TCP 443 egress restricted to the approved private VPC boundary, with service-level access further constrained by endpoint policy, security group and IAM.
- No general Internet egress.
- No host networking, host path, privileged mode or static cloud credentials.
Extend the W6-001 binder so that:
- The repository source template remains non-deployable.
- Both application and collector source sentinels are rejected outside template mode.
- Both images are bound to approved immutable digests in the generated external release package.
- Application and collector provenance are independently recorded.
- Tag-only, mutable or unapproved registries are rejected.
- The W6-001 application-image evidence contract remains backward-compatible where possible.
- Existing W6-001 security, rollback and cleanliness tests are updated for the extended two-image release contract.
- No generated release package is written during Gate 2.
10. Image lifecycle contract
Implement offline code and schemas that later allow owner-executed commands to:
- Bind source identity, dependency lock, Dockerfile and base-image digest.
- Record Docker/buildx identity.
- Build the current source candidate.
- Record OCI image digest.
- Bind pinned Trivy and Grype versions plus database identities.
- Require zero Critical findings.
- Require explicit owner waiver evidence for every accepted High finding.
- Generate and hash SPDX and CycloneDX SBOMs.
- Generate provenance and image-composition evidence.
- Record ECR repository identity, publication approval and registry-returned digest.
- Reject tag-only identity.
- Reject historical W5/W6 image evidence as current authorization.
- Freeze publication on missing, malformed, expired or inconsistent evidence.
- Perform no build, scan, registry login, push or network action during Gate 2.
11. Platform lifecycle orchestration
Extend platformctl without weakening existing W5 controls so it can later support:
- W6-004 source-contract validation.
- Owner-bound external runtime package validation.
- Native discovery.
- KMS-tail and delayed-billing classification.
- Bootstrap plan/apply/verify.
- Platform plan/apply/verify.
- Partial-apply inventory and mutation freeze.
- Image evidence validation.
- ECR digest verification.
- EKS and add-on inventory.
- Pod Identity verification.
- Release binding orchestration.
- Client and server-side admission evidence.
- Deployment and live verification.
- Application last-known-good recording and rollback.
- Infrastructure last-known-good recording.
- Safe node-capacity regression.
- Distinct infrastructure rollback planning and verification.
- Kubernetes/application teardown.
- Platform destroy.
- Native orphan discovery.
- Exact versioned-state-object inventory.
- Bootstrap destroy.
- Final residue, billing-tail and closure verification.
No orchestration function may:
- Execute automatically during import or validation.
- Retry a mutation automatically.
- reuse a consumed plan or approval.
- print an unconditional PASS banner.
- accept pasted hashes in place of computed artifact identities.
- convert incomplete discovery to absence.
- convert partial apply to success.
- convert dry-run to deployment success.
- convert PendingDeletion to removed.
- convert advisory cost to actual billing.
- substitute targeted destroy for infrastructure rollback.
- delete a shared/excluded resource.
- continue after an affected approval or deadline is invalidated.
12. Partial-failure and concurrency controls
Implement explicit handling and tests for:
- Active and stale Terraform locks.
- Duplicate invocation.
- Operation ID collision.
- Consumed approval.
- Expired approval.
- Source/input/state drift.
- Invalid or embedded-error plan JSON.
- Provider-computed and nullable shapes.
- Partial apply.
- KMS/Logs AccessDenied.
- OpenSearch timeout or indeterminate readiness.
- Image build failure.
- Image push failure.
- Registry digest mismatch.
- EKS control-plane delay.
- Node and add-on readiness delay.
- Failed Kubernetes rollout.
- Failed application rollback.
- Failed infrastructure rollback.
- Partial platform destroy.
- Versioned-state-object blockage.
- Partial bootstrap destroy.
- KMS PendingDeletion.
- Delayed or incomplete billing.
Every affected mutation must freeze safely and produce resumable, metadata-only evidence for owner review.
The historical W5 authorization failure must remain classified:
AUTHORIZATION FAILURE OBSERVED — ROOT CAUSE UNRESOLVED
Do not rewrite it as proven eventual consistency, proven IAM failure, proven KMS incompatibility or resolved causality.
13. Policy, security and cost gates
OPA and automated tests must reject:
- Unintended public ingress.
- NAT or Internet routing outside the approved design.
- Public application load balancers.
- Unrestricted EKS API access.
- Shared-resource adoption.
- Unencrypted state, storage, ECR, EKS secrets, OpenSearch or logs.
- Broad Logs/KMS principals or encryption contexts.
- Static AWS credentials.
- Mutable or tag-only images.
- Missing Pod Identity.
- Combined ingestion/runtime privileges.
- Missing NetworkPolicy, HPA, PDB, probes or resource bounds.
- Unbounded FIS targets or missing stop alarms.
- Plans without valid real plan JSON.
- Cost evidence with embedded errors, zero priced resources where resources exist, incomplete required coverage or a breached owner cap.
- Destroy plans containing excluded/shared resources.
- Bootstrap destroy before verified platform absence.
14. Automated test requirements
Add positive and negative tests covering:
- All closed schemas and canonical hashes.
- Exact sentinel rejection and external runtime binding.
- Account, Region, principal and expiry mismatch.
- Plan, approval and state single-use behavior.
- Provider-computed shape fixtures.
- Partial-apply freeze and recovery handoff.
- Historical authorization-failure classification.
- KMS/Logs policy invariants.
- EKS ownership, encryption, access, nodes, add-ons and Pod Identity.
- Runtime versus ingestion permissions.
- Synthetic authentication acceptance and denial cases.
- OpenSearch SigV4 composition.
- Bedrock model/inference-profile restriction.
- Safe telemetry/redaction/cardinality.
- Application and collector digest binding.
- Scan, SBOM and provenance evidence.
- Admission, rollout and running-digest contracts.
- Live-test schema without claiming live execution.
- Application known-good and rollback identity.
- Infrastructure known-good, regression and distinct rollback plan.
- Platform-first/bootstrap-last destruction.
- Versioned-object exact deletion boundary.
- Shared-resource exclusion.
- KMS PendingDeletion and billing-lag classification.
- Zero-unexpected-residue logic.
- No tracked/external evidence writes during validation.
- Preservation of all W5 and W6 regression contracts.
15. Feature and CI alignment
Update feature-matrix.yaml and its tests so W6-004:
- Represents the complete sandbox AWS/EKS lifecycle.
- Depends on W6-001, W6-002 and W6-003 closure.
- Remains In Progress until owner-executed live deployment, rollback, teardown and closure.
- Does not mark production readiness.
- Does not change prior feature ownership or silently mark another feature Done.
Update Makefile and CI workflows only to add deterministic offline validation, policy and test composition. CI must not:
- Contact AWS.
- Initialize or apply Terraform.
- Build or push images.
- Download models.
- Contact ECR/EKS.
- Execute Kubernetes.
- Execute FIS.
- Deploy, roll back or destroy infrastructure.
- Generate owner evidence.
GENERATED EXTERNAL OUTPUT CONTRACT
Gate 2 must write no external evidence. Code may define the later owner-executed external structure under:
E:\AI\.runtime\enterprise_ai_platform\w6-004\owner-test-01
Approved logical subdirectories:
- discovery
- bootstrap-plan
- bootstrap-apply
- platform-plan
- platform-apply
- image
- release
- deployment
- live-tests
- application-rollback
- infrastructure-regression
- infrastructure-rollback
- platform-destroy
- bootstrap-destroy
- residue
- cost
- closure
The approved temporary root is:
E:\AI\.tmp\enterprise-ai-platform-w6-004\owner-test-01
No directory may be created during Gate 2 merely to prove the contract.
PROHIBITED DURING GATE 2
- Do not run tests, validators, formatters, linters, scanners or type checkers.
- Do not run Git commands after the required read-only baseline preflight.
- Do not stage, commit, push, reset, checkout, merge, rebase or create a branch.
- Do not run Terraform, TFLint, Checkov, OPA, Infracost, Docker, Trivy, Grype, Syft, AWS CLI, kubectl, Kustomize, Promtool or FIS.
- Do not initialize providers or modules.
- Do not download tools, providers, images, databases, models or dependencies.
- Do not contact AWS, ECR, EKS, Kubernetes, Bedrock, OpenSearch, CloudWatch, X-Ray, SNS or billing APIs.
- Do not build or publish an image.
- Do not deploy, remediate, retry, roll back, destroy or clean cloud resources.
- Do not generate runtime evidence or owner approval artifacts.
- Do not write documentation.
- Do not edit docs/resource-cleanliness/W6-final.json during Gate 2.
- Do not edit Excel or inspect/block on its temporary lock.
- Do not edit dependency or lock files.
- Do not edit .secrets.baseline.
- Do not create any path outside the 26 CREATE paths.
- Do not modify any path outside the 57 UPDATE paths.
- Do not delete any file.
POST-EDIT HANDOFF
After completing only the approved edits, return:
1. Exact created paths.
2. Exact updated paths.
3. Confirmation of zero deleted paths.
4. Any approved path left unchanged and the reason.
5. Producer-consumer and architecture map.
6. Terraform module and state-boundary map.
7. Application, authentication, OpenSearch, Bedrock and telemetry composition map.
8. Kubernetes source-template and two-image binding contract.
9. Closed schema inventory.
10. Owner-bound runtime sentinel inventory.
11. Partial-failure, concurrency and freeze controls.
12. Security, privacy, residency and redaction controls.
13. </t>
  </si>
  <si>
    <t>COLUMN M — EXACT DOCUMENT WRITING APPROVAL — W6-004
This is a bounded documentation-writing approval issued after completion of the W6-004 implementation, owner-executed testing, deployment, Stage 6 validation, Stage 7 resilience exercise, application rollback, infrastructure rollback, platform teardown and bootstrap teardown.
This approval authorizes documentation changes only. It does not authorize code, test, configuration, IaC, Excel, Git, AWS, Kubernetes, Terraform, deployment, rollback, remediation or teardown operations.
TASK IDENTITY
- Prompt ID: W6-004
- Week: Week 6
- Outcome: Full AWS infrastructure, services and EKS application lifecycle proof
- Repository: E:\AI\enterprise_ai_platform
- Evidence root:
  E:\AI\evidence\enterprise_ai_platform\w6-004
- Complete-teardown evidence root:
  E:\AI\evidence\enterprise_ai_platform\w6-004\complete-teardown-001
CURRENT OWNER-SUPPLIED FINAL POSITION
Record these as owner-supplied facts that must be reconciled against the retained evidence before writing:
1. Deployment and live validation
   - The AWS/EKS sandbox was deployed with immutable images.
   - The final successfully deployed and tested application digest was:
     sha256:efaafe47204afbd4a092f675f3a60fc3575abad288e89e8f73692b053d22dd55
   - Stage 6 integrated validation completed successfully.
   - Stage 7 bounded resilience validation completed successfully.
   - OpenSearch retrieval, approved Bedrock model invocation, authentication, authorization-denial controls, telemetry, HPA, PDB and recovery exercises were tested.
   - The approved Bedrock model was:
     global.amazon.nova-2-lite-v1:0
2. Application rollback
   - Operation identity:
     application-rollback-001
   - Regression digest:
     sha256:e188ad90268763165d9acf46eae0a238f45245242637435ad15a4e6b2ef339cc
   - Known-good digest:
     sha256:efaafe47204afbd4a092f675f3a60fc3575abad288e89e8f73692b053d22dd55
   - Regression deployment and restoration to the exact known-good digest passed.
   - Post-rollback identity, health, authentication, retrieval, Bedrock and security validation passed.
   - Final recorded result:
     PASS_WITH_TELEMETRY_GAP
   - The telemetry limitation must remain explicit and must not be converted to an unconditional PASS.
3. Infrastructure rollback
   - Operation identity:
     infrastructure-rollback-001
   - The bounded regression changed only:
     module.eks[0].aws_eks_node_group.application.scaling_config[0].min_size
   - Regression:
     min_size 2 → 1
   - Restoration:
     min_size 1 → 2
   - Restored node-group capacity:
     min/desired/max = 2/2/3
   - Terraform state lineage remained:
     8a430482-a3ec-704c-6d2d-0f82f853bba8
   - Restored Terraform state serial:
     27
   - Cluster, node group, add-ons, workloads, OpenSearch and approved Bedrock invocation passed after restoration.
   - Final recorded result:
     PASS_WITH_TELEMETRY_GAP
   - The missing correlated Bedrock invocation-log event must remain recorded.
4. Complete teardown
   - Operation identity:
     complete-teardown-001
   - Kubernetes application Deployment and project namespace were removed.
   - The exact synthetic OpenSearch index and its three documents were removed.
   - Ten exact S3 Bedrock invocation-log object versions were archived locally, hash-verified and deleted.
   - Nine exact ECR image digests were preserved as evidence where required and deleted from ECR.
   - The platform Terraform destroy completed.
   - Thirty-six exact platform-state object versions and the exact DynamoDB checksum item were removed.
   - The bootstrap Terraform destroy completed.
   - The state bucket, lock table, ECR repository, OpenSearch domain, project bucket, Kubernetes workloads and project IAM roles were verified absent.
   - Shared and service-linked resources were excluded from destruction.
   - Fifteen Resource Groups Tagging API entries were reconciled as stale eventual-consistency records after direct EC2 APIs verified that the underlying resources were absent.
   - Reconciled resource teardown result:
     PASS
   - Zero unexpected live AWS resources:
     True
   - Zero active cost-bearing project resources:
     True
   - Current reported unblended cost:
     USD 0
   - Owner lifecycle ceiling:
     USD 20
   - Cost below ceiling:
     True
5. Expected residual tails
   - Platform KMS key:
     41b46eac-902c-4d53-bb09-2f4a183fa268
     State: PendingDeletion
     Deletion date: 2026-10-17T00:34:51.498000+08:00
   - Bootstrap KMS key:
     d869548f-8792-441a-a77a-3028d693e7cd
     State: PendingDeletion
     Deletion date: 2026-10-17T00:57:48.306000+08:00
   - PendingDeletion is an expected time-bound residual, not physical absence.
   - The lifecycle must not be classified as completely closed until deletion is independently verified after those dates.
6. Billing lag
   - Billing remains:
     INDETERMINATE_UNTIL_24_48_72_HOUR_CHECKS
   - Scheduled checks:
     - 24-hour: 2026-10-10T16:57:57Z
     - 48-hour: 2026-10-11T16:57:57Z
     - 72-hour: 2026-10-12T16:57:57Z
   - Delayed billing data must not be converted to zero final lifecycle cost before these checks are completed.
7. Current overall classification
   - Resource teardown:
     PASS
   - Full W6-004 closure:
     INDETERMINATE_PENDING_KMS_AND_BILLING_LAG
   - Do not describe W6-004 as unconditionally closed, fully complete or production-ready.
   - Column N must remain blocked until the scheduled billing evidence and KMS deletion follow-up are reconciled, unless the owner explicitly accepts a documented conditional closure.
AUTHORITATIVE FINAL TEARDOWN EVIDENCE
At minimum, reconcile:
- E:\AI\evidence\enterprise_ai_platform\w6-004\complete-teardown-001\immediate-final-residue-reconciled.json
- SHA-256:
  df0658c8a4247aedbd760c2b7bf3298a1a1af69656b1579384b308aa4bc8ada3
- E:\AI\evidence\enterprise_ai_platform\w6-004\complete-teardown-001\immediate-ec2-residue-reconciliation.json
- SHA-256:
  e515aa506699e88a34fe6e5ccd4f7351422fa19617341a73c68c428c16665382
The original immediate residue result must be preserved as historical evidence. Its initial failure was subsequently reconciled; do not delete or rewrite it.
DOCUMENT PREFLIGHT
Before editing:
1. Read every CREATE and UPDATE target.
2. Read all directly referenced W6-001, W6-002 and W6-003 closure documents.
3. Read the relevant external W6-004 evidence indexes and final result files.
4. Verify each proposed CREATE path is absent.
5. Verify each proposed UPDATE path exists.
6. Verify that no path has unexplained owner changes.
7. Reconcile duplicate, superseded, failed and partial-attempt evidence without deleting history.
8. Treat owner-supplied console output as evidence only when it is supported by a retained result file or clearly labelled owner-attested evidence.
9. Never copy credentials, tokens, kubeconfig contents, secret values, complete prompts containing sensitive data or unnecessary personal information into documentation.
10. If a path classification, evidence identity or final result conflicts, edit nothing and return exactly:
BLOCKED — BASELINE CHANGED — W6-004 COLUMN M.
EXACT DOCUMENTATION BOUNDARY
CREATE:
- docs/test-evidence/W6-004.md
- docs/deployment-records/W6-plan-review.md
- docs/deployment-records/W6-sandbox.md
- docs/deployment-records/W6-destroy-plan.md
- docs/deployment-records/W6-lifecycle-runbook.md
- docs/deployment-records/W6-signoff.md
- docs/rollback-records/W6-application.md
- docs/rollback-records/W6-infrastructure.md
- docs/learning/W6-learning-review.md
UPDATE:
- docs/test-evidence/README.md
- docs/resource-cleanliness/W6-final.json
- docs/architecture/slo.md
VERIFIED UNCHANGED:
- docs/adr/ADR-010-saved-plan.md
- docs/adr/ADR-011-manual-mutations.md
- docs/adr/ADR-012-reversibility.md
- docs/adr/ADR-013-cleanup-verification.md
- docs/adr/ADR-014-kms-deletion.md
- docs/adr/ADR-017-release-gates.md
- feature-matrix.yaml
- All application source, tests, Terraform, Kubernetes templates, policies and schemas
DELETE:
- None
EXCLUDED:
- The Excel tracker.
- Application code and automated tests.
- Terraform, Kubernetes and policy source.
- Runtime or cloud configuration.
- External evidence files.
- Git staging, commits and pushes.
- AWS, Kubernetes, Terraform, Docker, scanner or registry operations.
- Any repository path not listed under CREATE or UPDATE.
MANDATORY DOCUMENT CONTENT
The documentation set must collectively record:
1. Business purpose and measurable lifecycle outcome.
2. Final source, image, release, deployment and state identities.
3. Image build, Trivy, Grype, SBOM, provenance and vulnerability-waiver results.
4. Stage 5 immutable deployment packages and exact deployed images.
5. Stage 6 functional, retrieval, authentication, authorization, Bedrock, OpenSearch, telemetry, HPA and PDB outcomes.
6. Stage 7 resilience scope, stop alarms, one-pod target, recovery and safety results.
7. Golden-set status, including anything not run or not preserved.
8. Prompt/response preservation scope and limitations.
9. Application rollback regression, exact known-good restoration and telemetry gap.
10. Infrastructure rollback regression, separately saved restore plan, restored capacity and telemetry gap.
11. Complete teardown in its exact order:
    Kubernetes → OpenSearch → S3 → ECR → platform Terraform → exact state cleanup → bootstrap Terraform.
12. Every partial failure, false PASS invalidation, retry and corrective control.
13. Shared and service-linked resource exclusions.
14. Exact archived external evidence locations and hashes.
15. Final native absence verification.
16. Expected KMS PendingDeletion tails.
17. Billing-lag follow-up schedule.
18. Security, privacy, residency, least-privilege and redaction outcomes.
19. Actual and advisory cost distinctions.
20. Conditional repeatability requirements for a future deployment.
21. Remaining risks, evidence gaps, limitations, deferred actions and responsible owner.
22. A pending `Final Owner Approval` section in every created or updated closure document where applicable.
23. `Tracker update responsibility: Owner`.
TRUTH-PRESERVATION RULES
Do not:
- Convert `PASS_WITH_TELEMETRY_GAP` to unconditional `PASS`.
- Convert `PendingDeletion` to deleted or absent.
- Convert current USD 0 into final billing closure.
- Convert delayed billing into final cost PASS.
- Convert accepted High vulnerabilities into remediated findings.
- Convert a denied security probe into a successful mutation.
- Convert server-side dry-run into deployment.
- Convert synthetic sandbox authentication into production identity readiness.
- Convert sandbox lifecycle proof into production readiness.
- Remove historical failed, partial or superseded attempts.
- Claim that every prompt and full model response was preserved unless exact evidence proves it.
- Claim golden-set testing occurred during a stage where it was not executed.
- Infer reviewers, timestamps, approvals or evidence hashes.
W6-FINAL.JSON REQUIREMENTS
Update `docs/resource-cleanliness/W6-final.json` as valid deterministic JSON. It must distinguish:
- `resource_teardown_result`: `PASS`
- `zero_unexpected_live_aws_resources`: `true`
- `zero_active_cost_bearing_project_resources`: `true`
- `kubernetes_workload_residue_count`: `0`
- `ecr_image_residue_count`: `0`
- `synthetic_s3_object_residue_count`: `0`
- `synthetic_opensearch_index_residue_count`: `0`
- `platform_state_object_residue_count`: `0`
- `lock_table_item_residue_count`: `0`
- Expected KMS PendingDeletion residuals.
- Billing follow-up schedule.
- `overall_result`:
  `INDETERMINATE_PENDING_KMS_AND_BILLING_LAG`
- Final closure conditions.
- Evidence paths and SHA-256 identities.
Do not put secrets, credentials or raw protected payloads in the JSON.
SIGN-OFF REQUIREMENT
`docs/deployment-records/W6-signoff.md` must remain a conditional sign-off record.
Its present status must be:
INDETERMINATE_PENDING_KMS_AND_BILLING_LAG
Its Final Owner Approval section must remain pending until:
1. The 24-, 48- and 72-hour billing checks are reconciled.
2. Final cost remains within the owner-approved lifecycle ceiling or any exception is explicitly accepted.
3. Both KMS keys are verified physically absent after their scheduled deletion dates.
4. No unexpected AWS resource or project cost residue appears.
5. The owner supplies reviewer identity, role, decision and approval timestamp.
LIFECYCLE RUNBOOK REQUIREMENT
`docs/deployment-records/W6-lifecycle-runbook.md` must be a conditional future-use runbook. It must state that no historical plan, approval, token, kubeconfig, image tag, state identity or deadline may be reused.
A future lifecycle requires fresh:
- Account, Region and principal verification.
- Source and dependency identity.
- Terraform state lineage and serial.
- Saved plans and hashes.
- OPA and cost evaluation.
- Image build, scans, SBOM and provenance.
- Registry digest verification.
- Release package.
- Admission checks.
- Deployment approval.
- Rollback targets.
- Teardown plans.
- Residue and billing verification.
- Owner approvals and deadlines.
MANDATORY COLUMN M OUTPUT
After writing, return:
COLUMN M APPROVED DOCUMENT MANIFEST — W6-004
Include exactly one row per CREATE or UPDATE document with:
- Exact path.
- CREATE or UPDATE classification.
- Business purpose.
- Evidence sources used.
- Owner results recorded.
- Risks and accepted warnings.
- Evidence gaps and limitations.
- Deployment result.
- Stage 6 result.
- Stage 7 result.
- Application rollback result.
- Infrastructure rollback result.
- Platform teardown result.
- Bootstrap teardown result.
- Residual resource and billing classification.
- Final Owner Approval section location.
- Required Column N action.
Also report:
- Expected manifest document count.
- Actual document count.
- Created count.
- Updated count.
- Missing or conflicting count.
- Unexpected changed-path count.
- Whether documentation reconciliation passed.
- Exact paths left unchanged with the approved reason.
- Confirmation that no code, test, configuration, IaC, Excel, external evidence or Git state was modified.
Do not return Column N tracker authorization.
End exactly:
DOCUMENTATION READY FOR OWNER REVIEW — W6-004.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</si>
</sst>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7">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right/>
      <top style="thin">
        <color rgb="FFC8D4E3"/>
      </top>
      <bottom/>
      <diagonal/>
    </border>
    <border>
      <left/>
      <right style="thin">
        <color rgb="FFC8D4E3"/>
      </right>
      <top style="thin">
        <color rgb="FFC8D4E3"/>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style="thin">
        <color rgb="FFC8D4E3"/>
      </left>
      <right style="thin">
        <color rgb="FFC8D4E3"/>
      </right>
      <top/>
      <bottom/>
      <diagonal/>
    </border>
    <border>
      <left style="thin">
        <color rgb="FFC8D4E3"/>
      </left>
      <right style="thin">
        <color rgb="FFC8D4E3"/>
      </right>
      <top/>
      <bottom style="thin">
        <color rgb="FFC8D4E3"/>
      </bottom>
      <diagonal/>
    </border>
    <border>
      <left style="thin">
        <color rgb="FFC8D4E3"/>
      </left>
      <right style="thin">
        <color rgb="FFC8D4E3"/>
      </right>
      <top style="thin">
        <color rgb="FFC8D4E3"/>
      </top>
      <bottom/>
      <diagonal/>
    </border>
  </borders>
  <cellStyleXfs count="1">
    <xf numFmtId="0" fontId="0" fillId="0" borderId="0"/>
  </cellStyleXfs>
  <cellXfs count="91">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3" xfId="0" applyFont="1" applyFill="1" applyBorder="1"/>
    <xf numFmtId="0" fontId="7" fillId="7" borderId="13" xfId="0" applyFont="1" applyFill="1" applyBorder="1"/>
    <xf numFmtId="164" fontId="7" fillId="7" borderId="13"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4" xfId="0" applyFont="1" applyBorder="1" applyAlignment="1">
      <alignment vertical="top" wrapText="1"/>
    </xf>
    <xf numFmtId="0" fontId="10" fillId="11" borderId="14" xfId="0" applyFont="1" applyFill="1" applyBorder="1" applyAlignment="1">
      <alignment vertical="top" wrapText="1"/>
    </xf>
    <xf numFmtId="0" fontId="4" fillId="10" borderId="0" xfId="0" applyFont="1" applyFill="1"/>
    <xf numFmtId="14" fontId="10" fillId="11" borderId="14" xfId="0" applyNumberFormat="1" applyFont="1" applyFill="1" applyBorder="1" applyAlignment="1">
      <alignment vertical="top" wrapText="1"/>
    </xf>
    <xf numFmtId="14" fontId="10" fillId="0" borderId="14"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3" xfId="0" applyFont="1" applyFill="1" applyBorder="1" applyAlignment="1">
      <alignment vertical="center" wrapText="1"/>
    </xf>
    <xf numFmtId="0" fontId="4" fillId="13" borderId="0" xfId="0" applyFont="1" applyFill="1" applyAlignment="1">
      <alignment wrapText="1"/>
    </xf>
    <xf numFmtId="0" fontId="14" fillId="13" borderId="14" xfId="0" applyFont="1" applyFill="1" applyBorder="1" applyAlignment="1">
      <alignment vertical="top" wrapText="1"/>
    </xf>
    <xf numFmtId="0" fontId="14" fillId="13" borderId="13" xfId="0" applyFont="1" applyFill="1" applyBorder="1" applyAlignment="1">
      <alignment vertical="top" wrapText="1"/>
    </xf>
    <xf numFmtId="0" fontId="10" fillId="3" borderId="14" xfId="0" applyFont="1" applyFill="1" applyBorder="1" applyAlignment="1">
      <alignment vertical="top" wrapText="1"/>
    </xf>
    <xf numFmtId="0" fontId="7" fillId="0" borderId="14" xfId="0" applyFont="1"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16" borderId="15" xfId="0" applyFill="1" applyBorder="1" applyAlignment="1">
      <alignment vertical="top" wrapText="1"/>
    </xf>
    <xf numFmtId="0" fontId="0" fillId="16" borderId="17" xfId="0" applyFill="1" applyBorder="1" applyAlignment="1">
      <alignment vertical="top" wrapText="1"/>
    </xf>
    <xf numFmtId="0" fontId="0" fillId="16" borderId="18" xfId="0" applyFill="1" applyBorder="1" applyAlignment="1">
      <alignment vertical="top" wrapText="1"/>
    </xf>
    <xf numFmtId="0" fontId="0" fillId="16" borderId="20" xfId="0" applyFill="1" applyBorder="1" applyAlignment="1">
      <alignment vertical="top" wrapText="1"/>
    </xf>
    <xf numFmtId="0" fontId="0" fillId="16" borderId="21" xfId="0" applyFill="1" applyBorder="1" applyAlignment="1">
      <alignment vertical="top" wrapText="1"/>
    </xf>
    <xf numFmtId="0" fontId="0" fillId="16" borderId="23"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3" xfId="0" applyFont="1" applyFill="1" applyBorder="1" applyAlignment="1">
      <alignment vertical="top" wrapText="1"/>
    </xf>
    <xf numFmtId="0" fontId="3" fillId="13" borderId="13" xfId="0" applyFont="1" applyFill="1" applyBorder="1" applyAlignment="1">
      <alignment vertical="top" wrapText="1"/>
    </xf>
    <xf numFmtId="0" fontId="10" fillId="15" borderId="14" xfId="0" applyFont="1" applyFill="1" applyBorder="1" applyAlignment="1">
      <alignment vertical="top" wrapText="1"/>
    </xf>
    <xf numFmtId="0" fontId="4" fillId="13" borderId="0" xfId="0" applyFont="1" applyFill="1" applyAlignment="1">
      <alignment vertical="top" wrapText="1"/>
    </xf>
    <xf numFmtId="0" fontId="1" fillId="10" borderId="0" xfId="0" applyFont="1" applyFill="1" applyAlignment="1">
      <alignment vertical="top"/>
    </xf>
    <xf numFmtId="0" fontId="0" fillId="0" borderId="0" xfId="0" applyAlignment="1">
      <alignment vertical="top"/>
    </xf>
    <xf numFmtId="0" fontId="2" fillId="11" borderId="0" xfId="0" applyFont="1" applyFill="1" applyAlignment="1">
      <alignment vertical="top" wrapText="1"/>
    </xf>
    <xf numFmtId="0" fontId="8" fillId="8" borderId="13" xfId="0" applyFont="1" applyFill="1" applyBorder="1" applyAlignment="1">
      <alignment wrapText="1"/>
    </xf>
    <xf numFmtId="0" fontId="0" fillId="0" borderId="7" xfId="0" applyBorder="1"/>
    <xf numFmtId="0" fontId="0" fillId="0" borderId="8" xfId="0" applyBorder="1"/>
    <xf numFmtId="0" fontId="0" fillId="0" borderId="10" xfId="0" applyBorder="1"/>
    <xf numFmtId="0" fontId="0" fillId="0" borderId="11" xfId="0" applyBorder="1"/>
    <xf numFmtId="0" fontId="0" fillId="0" borderId="12" xfId="0" applyBorder="1"/>
    <xf numFmtId="0" fontId="1" fillId="2" borderId="0" xfId="0" applyFont="1" applyFill="1" applyAlignment="1">
      <alignment vertical="center"/>
    </xf>
    <xf numFmtId="0" fontId="0" fillId="0" borderId="0" xfId="0"/>
    <xf numFmtId="0" fontId="5" fillId="6" borderId="25" xfId="0" applyFont="1" applyFill="1" applyBorder="1" applyAlignment="1">
      <alignment vertical="center" wrapText="1"/>
    </xf>
    <xf numFmtId="0" fontId="5" fillId="6" borderId="24" xfId="0" applyFont="1" applyFill="1" applyBorder="1" applyAlignment="1">
      <alignment vertical="center" wrapText="1"/>
    </xf>
    <xf numFmtId="0" fontId="0" fillId="0" borderId="9" xfId="0" applyBorder="1"/>
    <xf numFmtId="0" fontId="3" fillId="4" borderId="13" xfId="0" applyFont="1" applyFill="1" applyBorder="1" applyAlignment="1">
      <alignment vertical="center" wrapText="1"/>
    </xf>
    <xf numFmtId="0" fontId="0" fillId="0" borderId="2" xfId="0" applyBorder="1"/>
    <xf numFmtId="0" fontId="0" fillId="0" borderId="3" xfId="0" applyBorder="1"/>
    <xf numFmtId="0" fontId="5" fillId="6" borderId="26" xfId="0" applyFont="1" applyFill="1" applyBorder="1" applyAlignment="1">
      <alignment vertical="center" wrapText="1"/>
    </xf>
    <xf numFmtId="0" fontId="2" fillId="3" borderId="0" xfId="0" applyFont="1" applyFill="1" applyAlignment="1">
      <alignment vertical="center" wrapText="1"/>
    </xf>
    <xf numFmtId="0" fontId="3" fillId="4" borderId="0" xfId="0" applyFont="1" applyFill="1" applyAlignment="1">
      <alignment horizontal="center"/>
    </xf>
    <xf numFmtId="0" fontId="5" fillId="6" borderId="24" xfId="0" applyFont="1" applyFill="1" applyBorder="1" applyAlignment="1">
      <alignment wrapText="1"/>
    </xf>
    <xf numFmtId="0" fontId="9" fillId="6" borderId="13" xfId="0" applyFont="1" applyFill="1" applyBorder="1" applyAlignment="1">
      <alignment horizontal="center" vertical="center"/>
    </xf>
    <xf numFmtId="0" fontId="5" fillId="6" borderId="25" xfId="0" applyFont="1" applyFill="1" applyBorder="1" applyAlignment="1">
      <alignment wrapText="1"/>
    </xf>
    <xf numFmtId="0" fontId="5" fillId="6" borderId="26" xfId="0" applyFont="1" applyFill="1" applyBorder="1" applyAlignment="1">
      <alignment wrapText="1"/>
    </xf>
    <xf numFmtId="9" fontId="9" fillId="6" borderId="13" xfId="0" applyNumberFormat="1" applyFont="1" applyFill="1" applyBorder="1" applyAlignment="1">
      <alignment horizontal="center" vertical="center"/>
    </xf>
    <xf numFmtId="0" fontId="13" fillId="9" borderId="13" xfId="0" applyFont="1" applyFill="1" applyBorder="1" applyAlignment="1">
      <alignment vertical="center" wrapText="1"/>
    </xf>
    <xf numFmtId="0" fontId="4" fillId="10" borderId="0" xfId="0" applyFont="1" applyFill="1"/>
    <xf numFmtId="9" fontId="11" fillId="6" borderId="13" xfId="0" applyNumberFormat="1" applyFont="1" applyFill="1" applyBorder="1" applyAlignment="1">
      <alignment horizontal="center" vertical="center"/>
    </xf>
    <xf numFmtId="0" fontId="12" fillId="6" borderId="13" xfId="0" applyFont="1" applyFill="1" applyBorder="1" applyAlignment="1">
      <alignment horizontal="center" vertical="center"/>
    </xf>
    <xf numFmtId="0" fontId="3" fillId="12" borderId="13" xfId="0" applyFont="1" applyFill="1" applyBorder="1" applyAlignment="1">
      <alignment vertical="center" wrapText="1"/>
    </xf>
    <xf numFmtId="0" fontId="13" fillId="9" borderId="13" xfId="0" applyFont="1" applyFill="1" applyBorder="1" applyAlignment="1">
      <alignment wrapText="1"/>
    </xf>
    <xf numFmtId="0" fontId="4" fillId="13" borderId="0" xfId="0" applyFont="1" applyFill="1" applyAlignment="1">
      <alignment wrapText="1"/>
    </xf>
    <xf numFmtId="0" fontId="7" fillId="15" borderId="0" xfId="0" applyFont="1" applyFill="1" applyAlignment="1">
      <alignment wrapText="1"/>
    </xf>
    <xf numFmtId="0" fontId="4" fillId="14" borderId="0" xfId="0" applyFont="1" applyFill="1" applyAlignment="1">
      <alignment horizontal="left" vertical="center"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spPr>
            <a:ln>
              <a:prstDash val="solid"/>
            </a:ln>
          </c:spPr>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1</c:v>
                </c:pt>
                <c:pt idx="3">
                  <c:v>1</c:v>
                </c:pt>
                <c:pt idx="4">
                  <c:v>1</c:v>
                </c:pt>
                <c:pt idx="5">
                  <c:v>0</c:v>
                </c:pt>
              </c:numCache>
            </c:numRef>
          </c:val>
          <c:extLst>
            <c:ext xmlns:c16="http://schemas.microsoft.com/office/drawing/2014/chart" uri="{C3380CC4-5D6E-409C-BE32-E72D297353CC}">
              <c16:uniqueId val="{00000000-65AE-4976-BC08-34E6AEBFCA47}"/>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5"/>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REVIEW-001"/>
        <filter val="W4-003"/>
        <filter val="WEEKLY-LEARN-001"/>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3"/>
        <filter val="Week 4"/>
        <filter val="Week 5"/>
      </filters>
    </filterColumn>
    <filterColumn colId="5">
      <filters>
        <filter val="In Progress"/>
        <filter val="Not Started"/>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ustomHeight="1">
      <c r="A1" s="66" t="s">
        <v>970</v>
      </c>
      <c r="B1" s="67"/>
      <c r="C1" s="67"/>
      <c r="D1" s="67"/>
      <c r="E1" s="67"/>
      <c r="F1" s="67"/>
      <c r="G1" s="67"/>
      <c r="H1" s="67"/>
      <c r="I1" s="67"/>
      <c r="J1" s="67"/>
    </row>
    <row r="2" spans="1:10">
      <c r="A2" s="75" t="s">
        <v>971</v>
      </c>
      <c r="B2" s="67"/>
      <c r="C2" s="67"/>
      <c r="D2" s="67"/>
      <c r="E2" s="67"/>
      <c r="F2" s="67"/>
      <c r="G2" s="67"/>
      <c r="H2" s="67"/>
      <c r="I2" s="67"/>
      <c r="J2" s="67"/>
    </row>
    <row r="4" spans="1:10">
      <c r="A4" s="71" t="s">
        <v>972</v>
      </c>
      <c r="B4" s="72"/>
      <c r="C4" s="72"/>
      <c r="D4" s="72"/>
      <c r="E4" s="72"/>
      <c r="F4" s="72"/>
      <c r="G4" s="72"/>
      <c r="H4" s="72"/>
      <c r="I4" s="72"/>
      <c r="J4" s="73"/>
    </row>
    <row r="5" spans="1:10" ht="39.6" customHeight="1">
      <c r="A5" s="21">
        <v>1</v>
      </c>
      <c r="B5" s="4" t="s">
        <v>973</v>
      </c>
      <c r="C5" s="4" t="s">
        <v>974</v>
      </c>
      <c r="E5" s="74" t="s">
        <v>975</v>
      </c>
      <c r="F5" s="61"/>
      <c r="G5" s="61"/>
      <c r="H5" s="61"/>
      <c r="I5" s="61"/>
      <c r="J5" s="62"/>
    </row>
    <row r="6" spans="1:10" ht="39.6" customHeight="1">
      <c r="A6" s="21">
        <v>2</v>
      </c>
      <c r="B6" s="5" t="s">
        <v>976</v>
      </c>
      <c r="C6" s="5" t="s">
        <v>977</v>
      </c>
      <c r="E6" s="69" t="s">
        <v>978</v>
      </c>
      <c r="F6" s="67"/>
      <c r="G6" s="67"/>
      <c r="H6" s="67"/>
      <c r="I6" s="67"/>
      <c r="J6" s="70"/>
    </row>
    <row r="7" spans="1:10" ht="66" customHeight="1">
      <c r="A7" s="21">
        <v>3</v>
      </c>
      <c r="B7" s="5" t="s">
        <v>979</v>
      </c>
      <c r="C7" s="5" t="s">
        <v>980</v>
      </c>
      <c r="E7" s="69" t="s">
        <v>981</v>
      </c>
      <c r="F7" s="67"/>
      <c r="G7" s="67"/>
      <c r="H7" s="67"/>
      <c r="I7" s="67"/>
      <c r="J7" s="70"/>
    </row>
    <row r="8" spans="1:10" ht="79.2" customHeight="1">
      <c r="A8" s="21">
        <v>4</v>
      </c>
      <c r="B8" s="5" t="s">
        <v>982</v>
      </c>
      <c r="C8" s="5" t="s">
        <v>983</v>
      </c>
      <c r="E8" s="69" t="s">
        <v>984</v>
      </c>
      <c r="F8" s="67"/>
      <c r="G8" s="67"/>
      <c r="H8" s="67"/>
      <c r="I8" s="67"/>
      <c r="J8" s="70"/>
    </row>
    <row r="9" spans="1:10" ht="66" customHeight="1">
      <c r="A9" s="21">
        <v>5</v>
      </c>
      <c r="B9" s="5" t="s">
        <v>985</v>
      </c>
      <c r="C9" s="5" t="s">
        <v>986</v>
      </c>
      <c r="E9" s="69" t="s">
        <v>987</v>
      </c>
      <c r="F9" s="67"/>
      <c r="G9" s="67"/>
      <c r="H9" s="67"/>
      <c r="I9" s="67"/>
      <c r="J9" s="70"/>
    </row>
    <row r="10" spans="1:10" ht="79.2" customHeight="1">
      <c r="A10" s="21">
        <v>6</v>
      </c>
      <c r="B10" s="5" t="s">
        <v>988</v>
      </c>
      <c r="C10" s="5" t="s">
        <v>989</v>
      </c>
      <c r="E10" s="69" t="s">
        <v>990</v>
      </c>
      <c r="F10" s="67"/>
      <c r="G10" s="67"/>
      <c r="H10" s="67"/>
      <c r="I10" s="67"/>
      <c r="J10" s="70"/>
    </row>
    <row r="11" spans="1:10" ht="92.4" customHeight="1">
      <c r="A11" s="21">
        <v>7</v>
      </c>
      <c r="B11" s="5" t="s">
        <v>991</v>
      </c>
      <c r="C11" s="5" t="s">
        <v>992</v>
      </c>
      <c r="E11" s="68" t="s">
        <v>993</v>
      </c>
      <c r="F11" s="64"/>
      <c r="G11" s="64"/>
      <c r="H11" s="64"/>
      <c r="I11" s="64"/>
      <c r="J11" s="65"/>
    </row>
    <row r="12" spans="1:10" ht="66" customHeight="1">
      <c r="A12" s="21">
        <v>8</v>
      </c>
      <c r="B12" s="5" t="s">
        <v>994</v>
      </c>
      <c r="C12" s="5" t="s">
        <v>995</v>
      </c>
      <c r="E12" t="s">
        <v>996</v>
      </c>
    </row>
    <row r="13" spans="1:10" ht="66" customHeight="1">
      <c r="A13" s="21">
        <v>9</v>
      </c>
      <c r="B13" s="5" t="s">
        <v>997</v>
      </c>
      <c r="C13" s="5" t="s">
        <v>998</v>
      </c>
      <c r="E13" s="71" t="s">
        <v>999</v>
      </c>
      <c r="F13" s="72"/>
      <c r="G13" s="72"/>
      <c r="H13" s="72"/>
      <c r="I13" s="72"/>
      <c r="J13" s="73"/>
    </row>
    <row r="14" spans="1:10" ht="79.2" customHeight="1">
      <c r="A14" s="21">
        <v>10</v>
      </c>
      <c r="B14" s="6" t="s">
        <v>1000</v>
      </c>
      <c r="C14" s="6" t="s">
        <v>1001</v>
      </c>
      <c r="E14" s="7" t="s">
        <v>1002</v>
      </c>
      <c r="F14" s="9"/>
    </row>
    <row r="15" spans="1:10">
      <c r="E15" s="7" t="s">
        <v>9</v>
      </c>
      <c r="F15" s="8" t="s">
        <v>1003</v>
      </c>
    </row>
    <row r="16" spans="1:10">
      <c r="E16" s="7" t="s">
        <v>1004</v>
      </c>
      <c r="F16" s="8" t="s">
        <v>195</v>
      </c>
    </row>
    <row r="17" spans="1:10">
      <c r="E17" s="7" t="s">
        <v>1005</v>
      </c>
      <c r="F17" s="8" t="s">
        <v>1006</v>
      </c>
    </row>
    <row r="18" spans="1:10">
      <c r="E18" t="s">
        <v>1007</v>
      </c>
      <c r="F18" t="s">
        <v>1008</v>
      </c>
    </row>
    <row r="19" spans="1:10">
      <c r="A19" s="60" t="s">
        <v>1009</v>
      </c>
      <c r="B19" s="61"/>
      <c r="C19" s="61"/>
      <c r="D19" s="61"/>
      <c r="E19" s="61"/>
      <c r="F19" s="61"/>
      <c r="G19" s="61"/>
      <c r="H19" s="61"/>
      <c r="I19" s="61"/>
      <c r="J19" s="62"/>
    </row>
    <row r="20" spans="1:10">
      <c r="A20" s="63"/>
      <c r="B20" s="64"/>
      <c r="C20" s="64"/>
      <c r="D20" s="64"/>
      <c r="E20" s="64"/>
      <c r="F20" s="64"/>
      <c r="G20" s="64"/>
      <c r="H20" s="64"/>
      <c r="I20" s="64"/>
      <c r="J20" s="65"/>
    </row>
  </sheetData>
  <mergeCells count="12">
    <mergeCell ref="A19:J20"/>
    <mergeCell ref="A1:J1"/>
    <mergeCell ref="E11:J11"/>
    <mergeCell ref="E10:J10"/>
    <mergeCell ref="E13:J13"/>
    <mergeCell ref="E5:J5"/>
    <mergeCell ref="E9:J9"/>
    <mergeCell ref="E8:J8"/>
    <mergeCell ref="A4:J4"/>
    <mergeCell ref="A2:J2"/>
    <mergeCell ref="E6:J6"/>
    <mergeCell ref="E7:J7"/>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topLeftCell="A4"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66" t="s">
        <v>1010</v>
      </c>
      <c r="B1" s="67"/>
      <c r="C1" s="67"/>
      <c r="D1" s="67"/>
      <c r="E1" s="67"/>
      <c r="F1" s="67"/>
      <c r="G1" s="67"/>
      <c r="H1" s="67"/>
      <c r="I1" s="67"/>
      <c r="J1" s="67"/>
      <c r="K1" s="67"/>
      <c r="L1" s="67"/>
      <c r="M1" s="67"/>
      <c r="N1" s="67"/>
      <c r="O1" s="67"/>
      <c r="P1" s="67"/>
    </row>
    <row r="2" spans="1:16" ht="31.95" customHeight="1">
      <c r="A2" s="75" t="s">
        <v>1011</v>
      </c>
      <c r="B2" s="67"/>
      <c r="C2" s="67"/>
      <c r="D2" s="67"/>
      <c r="E2" s="67"/>
      <c r="F2" s="67"/>
      <c r="G2" s="67"/>
      <c r="H2" s="67"/>
      <c r="I2" s="67"/>
      <c r="J2" s="67"/>
      <c r="K2" s="67"/>
      <c r="L2" s="67"/>
      <c r="M2" s="67"/>
      <c r="N2" s="67"/>
      <c r="O2" s="67"/>
      <c r="P2" s="67"/>
    </row>
    <row r="4" spans="1:16">
      <c r="A4" s="76" t="s">
        <v>1012</v>
      </c>
      <c r="B4" s="67"/>
      <c r="D4" s="76" t="s">
        <v>39</v>
      </c>
      <c r="E4" s="67"/>
      <c r="G4" s="76" t="s">
        <v>1013</v>
      </c>
      <c r="H4" s="67"/>
      <c r="J4" s="76" t="s">
        <v>1014</v>
      </c>
      <c r="K4" s="67"/>
    </row>
    <row r="5" spans="1:16">
      <c r="A5" s="78">
        <f>COUNTA('02 Master Plan'!$A$6:$A$120)</f>
        <v>80</v>
      </c>
      <c r="B5" s="62"/>
      <c r="D5" s="78">
        <f>COUNTIF('02 Master Plan'!$S$6:$S$120,"Done")</f>
        <v>66</v>
      </c>
      <c r="E5" s="62"/>
      <c r="G5" s="81">
        <f>IF(A5=0,0,D5/A5)</f>
        <v>0.82499999999999996</v>
      </c>
      <c r="H5" s="62"/>
      <c r="J5" s="78">
        <f>COUNTIF('02 Master Plan'!$S$6:$S$120,"Blocked")</f>
        <v>0</v>
      </c>
      <c r="K5" s="62"/>
    </row>
    <row r="6" spans="1:16">
      <c r="A6" s="63"/>
      <c r="B6" s="65"/>
      <c r="D6" s="63"/>
      <c r="E6" s="65"/>
      <c r="G6" s="63"/>
      <c r="H6" s="65"/>
      <c r="J6" s="63"/>
      <c r="K6" s="65"/>
    </row>
    <row r="7" spans="1:16">
      <c r="A7" s="76" t="s">
        <v>1015</v>
      </c>
      <c r="B7" s="67"/>
      <c r="D7" s="76" t="s">
        <v>1016</v>
      </c>
      <c r="E7" s="67"/>
      <c r="G7" s="76" t="s">
        <v>1017</v>
      </c>
      <c r="H7" s="67"/>
      <c r="J7" s="76" t="s">
        <v>1018</v>
      </c>
      <c r="K7" s="67"/>
    </row>
    <row r="8" spans="1:16">
      <c r="A8" s="78">
        <f>COUNTIFS('13 Owner TODOs'!$F$6:$F$80,"&lt;&gt;Done",'13 Owner TODOs'!$A$6:$A$80,"&lt;&gt;")</f>
        <v>13</v>
      </c>
      <c r="B8" s="62"/>
      <c r="D8" s="78">
        <f>COUNTIF('11 Test Evidence'!$H$6:$H$80,"Pass")</f>
        <v>6</v>
      </c>
      <c r="E8" s="62"/>
      <c r="G8" s="78">
        <f>COUNTIF('12 Decision Log'!$C$6:$C$60,"Baseline Approved")+COUNTIF('12 Decision Log'!$C$6:$C$60,"Approved")</f>
        <v>18</v>
      </c>
      <c r="H8" s="62"/>
      <c r="J8" s="78">
        <f>COUNTIFS('11 Test Evidence'!$C$6:$C$80,"Teardown",'11 Test Evidence'!$H$6:$H$80,"Pass")</f>
        <v>1</v>
      </c>
      <c r="K8" s="62"/>
    </row>
    <row r="9" spans="1:16">
      <c r="A9" s="63"/>
      <c r="B9" s="65"/>
      <c r="D9" s="63"/>
      <c r="E9" s="65"/>
      <c r="G9" s="63"/>
      <c r="H9" s="65"/>
      <c r="J9" s="63"/>
      <c r="K9" s="65"/>
    </row>
    <row r="12" spans="1:16" ht="28.05" customHeight="1">
      <c r="A12" s="1" t="s">
        <v>3</v>
      </c>
      <c r="B12" s="2" t="s">
        <v>1019</v>
      </c>
      <c r="C12" s="2" t="s">
        <v>39</v>
      </c>
      <c r="D12" s="2" t="s">
        <v>1020</v>
      </c>
      <c r="E12" s="3" t="s">
        <v>1014</v>
      </c>
      <c r="G12" s="1" t="s">
        <v>3</v>
      </c>
      <c r="H12" s="3" t="s">
        <v>1020</v>
      </c>
    </row>
    <row r="13" spans="1:16">
      <c r="A13" s="10" t="s">
        <v>24</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195</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347</v>
      </c>
      <c r="B15" s="11">
        <f>COUNTIF('02 Master Plan'!$B$6:$B$120,A15)</f>
        <v>13</v>
      </c>
      <c r="C15" s="11">
        <f>COUNTIFS('02 Master Plan'!$B$6:$B$120,A15,'02 Master Plan'!$S$6:$S$120,"Done")</f>
        <v>13</v>
      </c>
      <c r="D15" s="13">
        <f t="shared" si="0"/>
        <v>1</v>
      </c>
      <c r="E15" s="11">
        <f>COUNTIFS('02 Master Plan'!$B$6:$B$120,A15,'02 Master Plan'!$S$6:$S$120,"Blocked")</f>
        <v>0</v>
      </c>
      <c r="G15" t="str">
        <f t="shared" si="1"/>
        <v>Week 3</v>
      </c>
      <c r="H15" s="14">
        <f t="shared" si="2"/>
        <v>1</v>
      </c>
    </row>
    <row r="16" spans="1:16">
      <c r="A16" s="11" t="s">
        <v>499</v>
      </c>
      <c r="B16" s="11">
        <f>COUNTIF('02 Master Plan'!$B$6:$B$120,A16)</f>
        <v>13</v>
      </c>
      <c r="C16" s="11">
        <f>COUNTIFS('02 Master Plan'!$B$6:$B$120,A16,'02 Master Plan'!$S$6:$S$120,"Done")</f>
        <v>13</v>
      </c>
      <c r="D16" s="13">
        <f t="shared" si="0"/>
        <v>1</v>
      </c>
      <c r="E16" s="11">
        <f>COUNTIFS('02 Master Plan'!$B$6:$B$120,A16,'02 Master Plan'!$S$6:$S$120,"Blocked")</f>
        <v>0</v>
      </c>
      <c r="G16" t="str">
        <f t="shared" si="1"/>
        <v>Week 4</v>
      </c>
      <c r="H16" s="14">
        <f t="shared" si="2"/>
        <v>1</v>
      </c>
    </row>
    <row r="17" spans="1:8">
      <c r="A17" s="11" t="s">
        <v>645</v>
      </c>
      <c r="B17" s="11">
        <f>COUNTIF('02 Master Plan'!$B$6:$B$120,A17)</f>
        <v>14</v>
      </c>
      <c r="C17" s="11">
        <f>COUNTIFS('02 Master Plan'!$B$6:$B$120,A17,'02 Master Plan'!$S$6:$S$120,"Done")</f>
        <v>14</v>
      </c>
      <c r="D17" s="13">
        <f t="shared" si="0"/>
        <v>1</v>
      </c>
      <c r="E17" s="11">
        <f>COUNTIFS('02 Master Plan'!$B$6:$B$120,A17,'02 Master Plan'!$S$6:$S$120,"Blocked")</f>
        <v>0</v>
      </c>
      <c r="G17" t="str">
        <f t="shared" si="1"/>
        <v>Week 5</v>
      </c>
      <c r="H17" s="14">
        <f t="shared" si="2"/>
        <v>1</v>
      </c>
    </row>
    <row r="18" spans="1:8">
      <c r="A18" s="11" t="s">
        <v>812</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71" t="s">
        <v>1021</v>
      </c>
      <c r="B21" s="72"/>
      <c r="C21" s="72"/>
      <c r="D21" s="72"/>
      <c r="E21" s="72"/>
      <c r="F21" s="72"/>
      <c r="G21" s="72"/>
      <c r="H21" s="73"/>
    </row>
    <row r="22" spans="1:8" ht="30" customHeight="1">
      <c r="A22" s="80" t="s">
        <v>1022</v>
      </c>
      <c r="B22" s="61"/>
      <c r="C22" s="61"/>
      <c r="D22" s="61"/>
      <c r="E22" s="61"/>
      <c r="F22" s="61"/>
      <c r="G22" s="61"/>
      <c r="H22" s="62"/>
    </row>
    <row r="23" spans="1:8" ht="30" customHeight="1">
      <c r="A23" s="77" t="s">
        <v>1023</v>
      </c>
      <c r="B23" s="67"/>
      <c r="C23" s="67"/>
      <c r="D23" s="67"/>
      <c r="E23" s="67"/>
      <c r="F23" s="67"/>
      <c r="G23" s="67"/>
      <c r="H23" s="70"/>
    </row>
    <row r="24" spans="1:8" ht="30" customHeight="1">
      <c r="A24" s="77" t="s">
        <v>1024</v>
      </c>
      <c r="B24" s="67"/>
      <c r="C24" s="67"/>
      <c r="D24" s="67"/>
      <c r="E24" s="67"/>
      <c r="F24" s="67"/>
      <c r="G24" s="67"/>
      <c r="H24" s="70"/>
    </row>
    <row r="25" spans="1:8" ht="30" customHeight="1">
      <c r="A25" s="77" t="s">
        <v>1025</v>
      </c>
      <c r="B25" s="67"/>
      <c r="C25" s="67"/>
      <c r="D25" s="67"/>
      <c r="E25" s="67"/>
      <c r="F25" s="67"/>
      <c r="G25" s="67"/>
      <c r="H25" s="70"/>
    </row>
    <row r="26" spans="1:8" ht="30" customHeight="1">
      <c r="A26" s="79" t="s">
        <v>1026</v>
      </c>
      <c r="B26" s="64"/>
      <c r="C26" s="64"/>
      <c r="D26" s="64"/>
      <c r="E26" s="64"/>
      <c r="F26" s="64"/>
      <c r="G26" s="64"/>
      <c r="H26" s="65"/>
    </row>
  </sheetData>
  <mergeCells count="24">
    <mergeCell ref="A25:H25"/>
    <mergeCell ref="D5:E6"/>
    <mergeCell ref="J5:K6"/>
    <mergeCell ref="J8:K9"/>
    <mergeCell ref="A26:H26"/>
    <mergeCell ref="A21:H21"/>
    <mergeCell ref="A23:H23"/>
    <mergeCell ref="G8:H9"/>
    <mergeCell ref="A22:H22"/>
    <mergeCell ref="A24:H24"/>
    <mergeCell ref="A5:B6"/>
    <mergeCell ref="G5:H6"/>
    <mergeCell ref="A8:B9"/>
    <mergeCell ref="D8:E9"/>
    <mergeCell ref="A7:B7"/>
    <mergeCell ref="G7:H7"/>
    <mergeCell ref="J4:K4"/>
    <mergeCell ref="D7:E7"/>
    <mergeCell ref="A1:P1"/>
    <mergeCell ref="J7:K7"/>
    <mergeCell ref="D4:E4"/>
    <mergeCell ref="A4:B4"/>
    <mergeCell ref="G4:H4"/>
    <mergeCell ref="A2:P2"/>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cfRule>
    <cfRule type="dataBar" priority="7">
      <dataBar>
        <cfvo type="min"/>
        <cfvo type="max"/>
        <color rgb="FF0F766E"/>
      </dataBar>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N69" workbookViewId="0">
      <selection activeCell="S71" sqref="S71"/>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style="27" customWidth="1"/>
  </cols>
  <sheetData>
    <row r="1" spans="1:21" ht="31.95" customHeight="1">
      <c r="A1" s="66" t="s">
        <v>0</v>
      </c>
      <c r="B1" s="67"/>
      <c r="C1" s="67"/>
      <c r="D1" s="67"/>
      <c r="E1" s="67"/>
      <c r="F1" s="67"/>
      <c r="G1" s="67"/>
      <c r="H1" s="67"/>
      <c r="I1" s="67"/>
      <c r="J1" s="67"/>
      <c r="K1" s="67"/>
      <c r="L1" s="67"/>
      <c r="M1" s="67"/>
      <c r="N1" s="67"/>
      <c r="O1" s="67"/>
      <c r="P1" s="67"/>
      <c r="Q1" s="67"/>
      <c r="R1" s="67"/>
      <c r="S1" s="67"/>
      <c r="T1" s="67"/>
    </row>
    <row r="2" spans="1:21" ht="31.95" customHeight="1">
      <c r="A2" s="75" t="s">
        <v>1</v>
      </c>
      <c r="B2" s="67"/>
      <c r="C2" s="67"/>
      <c r="D2" s="67"/>
      <c r="E2" s="67"/>
      <c r="F2" s="67"/>
      <c r="G2" s="67"/>
      <c r="H2" s="67"/>
      <c r="I2" s="67"/>
      <c r="J2" s="67"/>
      <c r="K2" s="67"/>
      <c r="L2" s="67"/>
      <c r="M2" s="67"/>
      <c r="N2" s="67"/>
      <c r="O2" s="67"/>
      <c r="P2" s="67"/>
      <c r="Q2" s="67"/>
      <c r="R2" s="67"/>
      <c r="S2" s="67"/>
      <c r="T2" s="67"/>
    </row>
    <row r="5" spans="1:21" ht="28.05" customHeight="1">
      <c r="A5" s="1" t="s">
        <v>2</v>
      </c>
      <c r="B5" s="2" t="s">
        <v>3</v>
      </c>
      <c r="C5" s="2" t="s">
        <v>4</v>
      </c>
      <c r="D5" s="2" t="s">
        <v>5</v>
      </c>
      <c r="E5" s="2" t="s">
        <v>6</v>
      </c>
      <c r="F5" s="2" t="s">
        <v>7</v>
      </c>
      <c r="G5" s="2" t="s">
        <v>8</v>
      </c>
      <c r="H5" s="2" t="s">
        <v>9</v>
      </c>
      <c r="I5" s="2" t="s">
        <v>10</v>
      </c>
      <c r="J5" s="2" t="s">
        <v>11</v>
      </c>
      <c r="K5" s="2" t="s">
        <v>12</v>
      </c>
      <c r="L5" s="2" t="s">
        <v>13</v>
      </c>
      <c r="M5" s="2" t="s">
        <v>14</v>
      </c>
      <c r="N5" s="2" t="s">
        <v>15</v>
      </c>
      <c r="O5" s="2" t="s">
        <v>16</v>
      </c>
      <c r="P5" s="2" t="s">
        <v>17</v>
      </c>
      <c r="Q5" s="2" t="s">
        <v>18</v>
      </c>
      <c r="R5" s="2" t="s">
        <v>19</v>
      </c>
      <c r="S5" s="2" t="s">
        <v>20</v>
      </c>
      <c r="T5" s="3" t="s">
        <v>21</v>
      </c>
      <c r="U5" s="28" t="s">
        <v>22</v>
      </c>
    </row>
    <row r="6" spans="1:21" ht="96.6" hidden="1" customHeight="1">
      <c r="A6" s="10" t="s">
        <v>23</v>
      </c>
      <c r="B6" s="10" t="s">
        <v>24</v>
      </c>
      <c r="C6" s="10">
        <v>1</v>
      </c>
      <c r="D6" s="10" t="s">
        <v>25</v>
      </c>
      <c r="E6" s="10" t="s">
        <v>26</v>
      </c>
      <c r="F6" s="10" t="s">
        <v>27</v>
      </c>
      <c r="G6" s="10" t="s">
        <v>28</v>
      </c>
      <c r="H6" s="10" t="s">
        <v>29</v>
      </c>
      <c r="I6" s="15">
        <v>1</v>
      </c>
      <c r="J6" s="10" t="s">
        <v>30</v>
      </c>
      <c r="K6" s="10" t="s">
        <v>31</v>
      </c>
      <c r="L6" s="10" t="s">
        <v>32</v>
      </c>
      <c r="M6" s="10" t="s">
        <v>33</v>
      </c>
      <c r="N6" s="10" t="s">
        <v>34</v>
      </c>
      <c r="O6" s="10" t="s">
        <v>35</v>
      </c>
      <c r="P6" s="10" t="s">
        <v>36</v>
      </c>
      <c r="Q6" s="10" t="s">
        <v>37</v>
      </c>
      <c r="R6" s="10" t="s">
        <v>38</v>
      </c>
      <c r="S6" s="10" t="s">
        <v>39</v>
      </c>
      <c r="T6" s="10" t="s">
        <v>40</v>
      </c>
      <c r="U6" s="28" t="s">
        <v>41</v>
      </c>
    </row>
    <row r="7" spans="1:21" ht="96.6" hidden="1" customHeight="1">
      <c r="A7" s="11" t="s">
        <v>42</v>
      </c>
      <c r="B7" s="11" t="s">
        <v>24</v>
      </c>
      <c r="C7" s="11">
        <v>2</v>
      </c>
      <c r="D7" s="11" t="s">
        <v>25</v>
      </c>
      <c r="E7" s="11" t="s">
        <v>43</v>
      </c>
      <c r="F7" s="11" t="s">
        <v>44</v>
      </c>
      <c r="G7" s="11" t="s">
        <v>45</v>
      </c>
      <c r="H7" s="11" t="s">
        <v>46</v>
      </c>
      <c r="I7" s="16">
        <v>0.5</v>
      </c>
      <c r="J7" s="11" t="s">
        <v>47</v>
      </c>
      <c r="K7" s="11" t="s">
        <v>37</v>
      </c>
      <c r="L7" s="11" t="s">
        <v>48</v>
      </c>
      <c r="M7" s="11" t="s">
        <v>49</v>
      </c>
      <c r="N7" s="11" t="s">
        <v>50</v>
      </c>
      <c r="O7" s="11" t="s">
        <v>51</v>
      </c>
      <c r="P7" s="11" t="s">
        <v>52</v>
      </c>
      <c r="Q7" s="11" t="s">
        <v>23</v>
      </c>
      <c r="R7" s="11" t="s">
        <v>53</v>
      </c>
      <c r="S7" s="11" t="s">
        <v>39</v>
      </c>
      <c r="T7" s="11" t="s">
        <v>54</v>
      </c>
      <c r="U7" s="28" t="s">
        <v>55</v>
      </c>
    </row>
    <row r="8" spans="1:21" ht="110.4" hidden="1" customHeight="1">
      <c r="A8" s="11" t="s">
        <v>56</v>
      </c>
      <c r="B8" s="11" t="s">
        <v>24</v>
      </c>
      <c r="C8" s="11">
        <v>3</v>
      </c>
      <c r="D8" s="11" t="s">
        <v>25</v>
      </c>
      <c r="E8" s="11" t="s">
        <v>57</v>
      </c>
      <c r="F8" s="11" t="s">
        <v>58</v>
      </c>
      <c r="G8" s="11" t="s">
        <v>59</v>
      </c>
      <c r="H8" s="11" t="s">
        <v>60</v>
      </c>
      <c r="I8" s="16">
        <v>1.5</v>
      </c>
      <c r="J8" s="11" t="s">
        <v>61</v>
      </c>
      <c r="K8" s="11" t="s">
        <v>62</v>
      </c>
      <c r="L8" s="11" t="s">
        <v>63</v>
      </c>
      <c r="M8" s="11" t="s">
        <v>64</v>
      </c>
      <c r="N8" s="11" t="s">
        <v>65</v>
      </c>
      <c r="O8" s="11" t="s">
        <v>66</v>
      </c>
      <c r="P8" s="11" t="s">
        <v>52</v>
      </c>
      <c r="Q8" s="11" t="s">
        <v>42</v>
      </c>
      <c r="R8" s="11" t="s">
        <v>67</v>
      </c>
      <c r="S8" s="11" t="s">
        <v>39</v>
      </c>
      <c r="T8" s="11" t="s">
        <v>68</v>
      </c>
      <c r="U8" s="28" t="s">
        <v>69</v>
      </c>
    </row>
    <row r="9" spans="1:21" ht="110.4" hidden="1" customHeight="1">
      <c r="A9" s="11" t="s">
        <v>70</v>
      </c>
      <c r="B9" s="11" t="s">
        <v>24</v>
      </c>
      <c r="C9" s="11">
        <v>4</v>
      </c>
      <c r="D9" s="11" t="s">
        <v>25</v>
      </c>
      <c r="E9" s="11" t="s">
        <v>71</v>
      </c>
      <c r="F9" s="11" t="s">
        <v>72</v>
      </c>
      <c r="G9" s="11" t="s">
        <v>73</v>
      </c>
      <c r="H9" s="11" t="s">
        <v>60</v>
      </c>
      <c r="I9" s="16">
        <v>1</v>
      </c>
      <c r="J9" s="11" t="s">
        <v>61</v>
      </c>
      <c r="K9" s="11" t="s">
        <v>74</v>
      </c>
      <c r="L9" s="11" t="s">
        <v>75</v>
      </c>
      <c r="M9" s="11" t="s">
        <v>76</v>
      </c>
      <c r="N9" s="11" t="s">
        <v>77</v>
      </c>
      <c r="O9" s="11" t="s">
        <v>78</v>
      </c>
      <c r="P9" s="11" t="s">
        <v>52</v>
      </c>
      <c r="Q9" s="11" t="s">
        <v>56</v>
      </c>
      <c r="R9" s="11" t="s">
        <v>79</v>
      </c>
      <c r="S9" s="11" t="s">
        <v>39</v>
      </c>
      <c r="T9" s="11" t="s">
        <v>68</v>
      </c>
      <c r="U9" s="28" t="s">
        <v>80</v>
      </c>
    </row>
    <row r="10" spans="1:21" ht="193.8" hidden="1" customHeight="1">
      <c r="A10" s="11" t="s">
        <v>81</v>
      </c>
      <c r="B10" s="11" t="s">
        <v>24</v>
      </c>
      <c r="C10" s="11">
        <v>5</v>
      </c>
      <c r="D10" s="11" t="s">
        <v>25</v>
      </c>
      <c r="E10" s="11" t="s">
        <v>82</v>
      </c>
      <c r="F10" s="11" t="s">
        <v>83</v>
      </c>
      <c r="G10" s="11" t="s">
        <v>84</v>
      </c>
      <c r="H10" s="11" t="s">
        <v>60</v>
      </c>
      <c r="I10" s="16">
        <v>1.5</v>
      </c>
      <c r="J10" s="11" t="s">
        <v>85</v>
      </c>
      <c r="K10" s="11" t="s">
        <v>86</v>
      </c>
      <c r="L10" s="11" t="s">
        <v>87</v>
      </c>
      <c r="M10" s="11" t="s">
        <v>88</v>
      </c>
      <c r="N10" s="11" t="s">
        <v>89</v>
      </c>
      <c r="O10" s="11" t="s">
        <v>90</v>
      </c>
      <c r="P10" s="11" t="s">
        <v>91</v>
      </c>
      <c r="Q10" s="11" t="s">
        <v>56</v>
      </c>
      <c r="R10" s="11" t="s">
        <v>92</v>
      </c>
      <c r="S10" s="11" t="s">
        <v>39</v>
      </c>
      <c r="T10" s="11" t="s">
        <v>68</v>
      </c>
      <c r="U10" s="28" t="s">
        <v>93</v>
      </c>
    </row>
    <row r="11" spans="1:21" ht="96.6" hidden="1" customHeight="1">
      <c r="A11" s="11" t="s">
        <v>94</v>
      </c>
      <c r="B11" s="11" t="s">
        <v>24</v>
      </c>
      <c r="C11" s="11">
        <v>6</v>
      </c>
      <c r="D11" s="11" t="s">
        <v>25</v>
      </c>
      <c r="E11" s="11" t="s">
        <v>95</v>
      </c>
      <c r="F11" s="11" t="s">
        <v>96</v>
      </c>
      <c r="G11" s="11" t="s">
        <v>97</v>
      </c>
      <c r="H11" s="11" t="s">
        <v>60</v>
      </c>
      <c r="I11" s="16">
        <v>1.25</v>
      </c>
      <c r="J11" s="11" t="s">
        <v>98</v>
      </c>
      <c r="K11" s="11" t="s">
        <v>37</v>
      </c>
      <c r="L11" s="11" t="s">
        <v>99</v>
      </c>
      <c r="M11" s="11" t="s">
        <v>100</v>
      </c>
      <c r="N11" s="11" t="s">
        <v>101</v>
      </c>
      <c r="O11" s="11" t="s">
        <v>102</v>
      </c>
      <c r="P11" s="11" t="s">
        <v>103</v>
      </c>
      <c r="Q11" s="11" t="s">
        <v>104</v>
      </c>
      <c r="R11" s="11" t="s">
        <v>105</v>
      </c>
      <c r="S11" s="11" t="s">
        <v>39</v>
      </c>
      <c r="T11" s="11" t="s">
        <v>68</v>
      </c>
      <c r="U11" s="28" t="s">
        <v>106</v>
      </c>
    </row>
    <row r="12" spans="1:21" ht="193.8" hidden="1" customHeight="1">
      <c r="A12" s="11" t="s">
        <v>107</v>
      </c>
      <c r="B12" s="11" t="s">
        <v>24</v>
      </c>
      <c r="C12" s="11">
        <v>7</v>
      </c>
      <c r="D12" s="11" t="s">
        <v>25</v>
      </c>
      <c r="E12" s="11" t="s">
        <v>108</v>
      </c>
      <c r="F12" s="11" t="s">
        <v>109</v>
      </c>
      <c r="G12" s="11" t="s">
        <v>110</v>
      </c>
      <c r="H12" s="11" t="s">
        <v>60</v>
      </c>
      <c r="I12" s="16">
        <v>1</v>
      </c>
      <c r="J12" s="11" t="s">
        <v>61</v>
      </c>
      <c r="K12" s="11" t="s">
        <v>37</v>
      </c>
      <c r="L12" s="11" t="s">
        <v>111</v>
      </c>
      <c r="M12" s="11" t="s">
        <v>112</v>
      </c>
      <c r="N12" s="11" t="s">
        <v>113</v>
      </c>
      <c r="O12" s="11" t="s">
        <v>114</v>
      </c>
      <c r="P12" s="11" t="s">
        <v>115</v>
      </c>
      <c r="Q12" s="11" t="s">
        <v>56</v>
      </c>
      <c r="R12" s="11" t="s">
        <v>116</v>
      </c>
      <c r="S12" s="11" t="s">
        <v>39</v>
      </c>
      <c r="T12" s="11" t="s">
        <v>68</v>
      </c>
      <c r="U12" s="28" t="s">
        <v>117</v>
      </c>
    </row>
    <row r="13" spans="1:21" ht="110.4" hidden="1" customHeight="1">
      <c r="A13" s="11" t="s">
        <v>118</v>
      </c>
      <c r="B13" s="11" t="s">
        <v>24</v>
      </c>
      <c r="C13" s="11">
        <v>8</v>
      </c>
      <c r="D13" s="11" t="s">
        <v>25</v>
      </c>
      <c r="E13" s="11" t="s">
        <v>119</v>
      </c>
      <c r="F13" s="11" t="s">
        <v>120</v>
      </c>
      <c r="G13" s="11" t="s">
        <v>121</v>
      </c>
      <c r="H13" s="11" t="s">
        <v>60</v>
      </c>
      <c r="I13" s="16">
        <v>1</v>
      </c>
      <c r="J13" s="11" t="s">
        <v>98</v>
      </c>
      <c r="K13" s="11" t="s">
        <v>122</v>
      </c>
      <c r="L13" s="11" t="s">
        <v>123</v>
      </c>
      <c r="M13" s="11" t="s">
        <v>124</v>
      </c>
      <c r="N13" s="11" t="s">
        <v>125</v>
      </c>
      <c r="O13" s="11" t="s">
        <v>126</v>
      </c>
      <c r="P13" s="11" t="s">
        <v>103</v>
      </c>
      <c r="Q13" s="11" t="s">
        <v>81</v>
      </c>
      <c r="R13" s="11" t="s">
        <v>127</v>
      </c>
      <c r="S13" s="11" t="s">
        <v>39</v>
      </c>
      <c r="T13" s="11" t="s">
        <v>68</v>
      </c>
      <c r="U13" s="28" t="s">
        <v>128</v>
      </c>
    </row>
    <row r="14" spans="1:21" ht="193.8" hidden="1" customHeight="1">
      <c r="A14" s="11" t="s">
        <v>129</v>
      </c>
      <c r="B14" s="11" t="s">
        <v>24</v>
      </c>
      <c r="C14" s="11">
        <v>9</v>
      </c>
      <c r="D14" s="11" t="s">
        <v>25</v>
      </c>
      <c r="E14" s="11" t="s">
        <v>130</v>
      </c>
      <c r="F14" s="11" t="s">
        <v>131</v>
      </c>
      <c r="G14" s="11" t="s">
        <v>132</v>
      </c>
      <c r="H14" s="11" t="s">
        <v>60</v>
      </c>
      <c r="I14" s="16">
        <v>1.25</v>
      </c>
      <c r="J14" s="11" t="s">
        <v>133</v>
      </c>
      <c r="K14" s="11" t="s">
        <v>134</v>
      </c>
      <c r="L14" s="11" t="s">
        <v>135</v>
      </c>
      <c r="M14" s="11" t="s">
        <v>136</v>
      </c>
      <c r="N14" s="11" t="s">
        <v>137</v>
      </c>
      <c r="O14" s="11" t="s">
        <v>138</v>
      </c>
      <c r="P14" s="11" t="s">
        <v>139</v>
      </c>
      <c r="Q14" s="11" t="s">
        <v>56</v>
      </c>
      <c r="R14" s="11" t="s">
        <v>140</v>
      </c>
      <c r="S14" s="11" t="s">
        <v>39</v>
      </c>
      <c r="T14" s="11" t="s">
        <v>141</v>
      </c>
      <c r="U14" s="28" t="s">
        <v>142</v>
      </c>
    </row>
    <row r="15" spans="1:21" ht="193.8" hidden="1" customHeight="1">
      <c r="A15" s="11" t="s">
        <v>143</v>
      </c>
      <c r="B15" s="11" t="s">
        <v>24</v>
      </c>
      <c r="C15" s="11">
        <v>10</v>
      </c>
      <c r="D15" s="11" t="s">
        <v>25</v>
      </c>
      <c r="E15" s="11" t="s">
        <v>144</v>
      </c>
      <c r="F15" s="11" t="s">
        <v>145</v>
      </c>
      <c r="G15" s="11" t="s">
        <v>146</v>
      </c>
      <c r="H15" s="11" t="s">
        <v>60</v>
      </c>
      <c r="I15" s="16">
        <v>1.5</v>
      </c>
      <c r="J15" s="11" t="s">
        <v>133</v>
      </c>
      <c r="K15" s="11" t="s">
        <v>147</v>
      </c>
      <c r="L15" s="11" t="s">
        <v>148</v>
      </c>
      <c r="M15" s="11" t="s">
        <v>149</v>
      </c>
      <c r="N15" s="11" t="s">
        <v>150</v>
      </c>
      <c r="O15" s="11" t="s">
        <v>151</v>
      </c>
      <c r="P15" s="11" t="s">
        <v>152</v>
      </c>
      <c r="Q15" s="11" t="s">
        <v>129</v>
      </c>
      <c r="R15" s="11" t="s">
        <v>153</v>
      </c>
      <c r="S15" s="11" t="s">
        <v>39</v>
      </c>
      <c r="T15" s="11" t="s">
        <v>141</v>
      </c>
      <c r="U15" s="28" t="s">
        <v>154</v>
      </c>
    </row>
    <row r="16" spans="1:21" ht="125.4" hidden="1" customHeight="1">
      <c r="A16" s="11" t="s">
        <v>155</v>
      </c>
      <c r="B16" s="11" t="s">
        <v>24</v>
      </c>
      <c r="C16" s="11">
        <v>11</v>
      </c>
      <c r="D16" s="11" t="s">
        <v>25</v>
      </c>
      <c r="E16" s="11" t="s">
        <v>156</v>
      </c>
      <c r="F16" s="11" t="s">
        <v>157</v>
      </c>
      <c r="G16" s="11" t="s">
        <v>158</v>
      </c>
      <c r="H16" s="11" t="s">
        <v>60</v>
      </c>
      <c r="I16" s="16">
        <v>1</v>
      </c>
      <c r="J16" s="11" t="s">
        <v>133</v>
      </c>
      <c r="K16" s="11" t="s">
        <v>159</v>
      </c>
      <c r="L16" s="11" t="s">
        <v>160</v>
      </c>
      <c r="M16" s="11" t="s">
        <v>161</v>
      </c>
      <c r="N16" s="11" t="s">
        <v>162</v>
      </c>
      <c r="O16" s="11" t="s">
        <v>163</v>
      </c>
      <c r="P16" s="11" t="s">
        <v>164</v>
      </c>
      <c r="Q16" s="11" t="s">
        <v>143</v>
      </c>
      <c r="R16" s="11" t="s">
        <v>165</v>
      </c>
      <c r="S16" s="11" t="s">
        <v>39</v>
      </c>
      <c r="T16" s="11" t="s">
        <v>141</v>
      </c>
      <c r="U16" s="28" t="s">
        <v>166</v>
      </c>
    </row>
    <row r="17" spans="1:21" ht="193.8" hidden="1" customHeight="1">
      <c r="A17" s="11" t="s">
        <v>167</v>
      </c>
      <c r="B17" s="11" t="s">
        <v>24</v>
      </c>
      <c r="C17" s="11">
        <v>12</v>
      </c>
      <c r="D17" s="11" t="s">
        <v>25</v>
      </c>
      <c r="E17" s="11" t="s">
        <v>168</v>
      </c>
      <c r="F17" s="11" t="s">
        <v>169</v>
      </c>
      <c r="G17" s="11" t="s">
        <v>170</v>
      </c>
      <c r="H17" s="11" t="s">
        <v>29</v>
      </c>
      <c r="I17" s="16">
        <v>1</v>
      </c>
      <c r="J17" s="11" t="s">
        <v>171</v>
      </c>
      <c r="K17" s="11" t="s">
        <v>172</v>
      </c>
      <c r="L17" s="11" t="s">
        <v>173</v>
      </c>
      <c r="M17" s="11" t="s">
        <v>174</v>
      </c>
      <c r="N17" s="11" t="s">
        <v>175</v>
      </c>
      <c r="O17" s="11" t="s">
        <v>176</v>
      </c>
      <c r="P17" s="11" t="s">
        <v>52</v>
      </c>
      <c r="Q17" s="11" t="s">
        <v>177</v>
      </c>
      <c r="R17" s="11" t="s">
        <v>178</v>
      </c>
      <c r="S17" s="11" t="s">
        <v>39</v>
      </c>
      <c r="T17" s="11" t="s">
        <v>179</v>
      </c>
      <c r="U17" s="28" t="s">
        <v>180</v>
      </c>
    </row>
    <row r="18" spans="1:21" ht="69" hidden="1" customHeight="1">
      <c r="A18" s="11" t="s">
        <v>181</v>
      </c>
      <c r="B18" s="11" t="s">
        <v>24</v>
      </c>
      <c r="C18" s="11">
        <v>13</v>
      </c>
      <c r="D18" s="11" t="s">
        <v>25</v>
      </c>
      <c r="E18" s="11" t="s">
        <v>182</v>
      </c>
      <c r="F18" s="11" t="s">
        <v>183</v>
      </c>
      <c r="G18" s="11" t="s">
        <v>184</v>
      </c>
      <c r="H18" s="11" t="s">
        <v>46</v>
      </c>
      <c r="I18" s="16">
        <v>1</v>
      </c>
      <c r="J18" s="11" t="s">
        <v>185</v>
      </c>
      <c r="K18" s="11" t="s">
        <v>37</v>
      </c>
      <c r="L18" s="11" t="s">
        <v>186</v>
      </c>
      <c r="M18" s="11" t="s">
        <v>187</v>
      </c>
      <c r="N18" s="11" t="s">
        <v>188</v>
      </c>
      <c r="O18" s="11" t="s">
        <v>189</v>
      </c>
      <c r="P18" s="11" t="s">
        <v>190</v>
      </c>
      <c r="Q18" s="11" t="s">
        <v>167</v>
      </c>
      <c r="R18" s="11" t="s">
        <v>191</v>
      </c>
      <c r="S18" s="11" t="s">
        <v>39</v>
      </c>
      <c r="T18" s="11" t="s">
        <v>192</v>
      </c>
      <c r="U18" s="28" t="s">
        <v>193</v>
      </c>
    </row>
    <row r="19" spans="1:21" ht="110.4" hidden="1" customHeight="1">
      <c r="A19" s="11" t="s">
        <v>194</v>
      </c>
      <c r="B19" s="11" t="s">
        <v>195</v>
      </c>
      <c r="C19" s="11">
        <v>1</v>
      </c>
      <c r="D19" s="11" t="s">
        <v>25</v>
      </c>
      <c r="E19" s="11" t="s">
        <v>196</v>
      </c>
      <c r="F19" s="11" t="s">
        <v>197</v>
      </c>
      <c r="G19" s="11" t="s">
        <v>198</v>
      </c>
      <c r="H19" s="11" t="s">
        <v>60</v>
      </c>
      <c r="I19" s="16">
        <v>1</v>
      </c>
      <c r="J19" s="11" t="s">
        <v>199</v>
      </c>
      <c r="K19" s="11" t="s">
        <v>200</v>
      </c>
      <c r="L19" s="11" t="s">
        <v>201</v>
      </c>
      <c r="M19" s="11" t="s">
        <v>202</v>
      </c>
      <c r="N19" s="11" t="s">
        <v>203</v>
      </c>
      <c r="O19" s="11" t="s">
        <v>204</v>
      </c>
      <c r="P19" s="11" t="s">
        <v>91</v>
      </c>
      <c r="Q19" s="11" t="s">
        <v>181</v>
      </c>
      <c r="R19" s="11" t="s">
        <v>205</v>
      </c>
      <c r="S19" s="11" t="s">
        <v>39</v>
      </c>
      <c r="T19" s="11"/>
      <c r="U19" s="28" t="s">
        <v>206</v>
      </c>
    </row>
    <row r="20" spans="1:21" ht="110.4" hidden="1" customHeight="1">
      <c r="A20" s="11" t="s">
        <v>207</v>
      </c>
      <c r="B20" s="11" t="s">
        <v>195</v>
      </c>
      <c r="C20" s="11">
        <v>2</v>
      </c>
      <c r="D20" s="11" t="s">
        <v>25</v>
      </c>
      <c r="E20" s="11" t="s">
        <v>208</v>
      </c>
      <c r="F20" s="11" t="s">
        <v>209</v>
      </c>
      <c r="G20" s="11" t="s">
        <v>210</v>
      </c>
      <c r="H20" s="11" t="s">
        <v>60</v>
      </c>
      <c r="I20" s="16">
        <v>1.25</v>
      </c>
      <c r="J20" s="11" t="s">
        <v>199</v>
      </c>
      <c r="K20" s="11" t="s">
        <v>37</v>
      </c>
      <c r="L20" s="11" t="s">
        <v>211</v>
      </c>
      <c r="M20" s="11" t="s">
        <v>212</v>
      </c>
      <c r="N20" s="11" t="s">
        <v>213</v>
      </c>
      <c r="O20" s="11" t="s">
        <v>214</v>
      </c>
      <c r="P20" s="11" t="s">
        <v>215</v>
      </c>
      <c r="Q20" s="11" t="s">
        <v>194</v>
      </c>
      <c r="R20" s="11" t="s">
        <v>216</v>
      </c>
      <c r="S20" s="11" t="s">
        <v>39</v>
      </c>
      <c r="T20" s="11"/>
      <c r="U20" s="28" t="s">
        <v>217</v>
      </c>
    </row>
    <row r="21" spans="1:21" ht="330.6" hidden="1" customHeight="1">
      <c r="A21" s="11" t="s">
        <v>218</v>
      </c>
      <c r="B21" s="11" t="s">
        <v>195</v>
      </c>
      <c r="C21" s="11">
        <v>3</v>
      </c>
      <c r="D21" s="11" t="s">
        <v>25</v>
      </c>
      <c r="E21" s="11" t="s">
        <v>219</v>
      </c>
      <c r="F21" s="11" t="s">
        <v>220</v>
      </c>
      <c r="G21" s="11" t="s">
        <v>221</v>
      </c>
      <c r="H21" s="11" t="s">
        <v>60</v>
      </c>
      <c r="I21" s="16">
        <v>1</v>
      </c>
      <c r="J21" s="11" t="s">
        <v>199</v>
      </c>
      <c r="K21" s="11" t="s">
        <v>37</v>
      </c>
      <c r="L21" s="11" t="s">
        <v>222</v>
      </c>
      <c r="M21" s="11" t="s">
        <v>223</v>
      </c>
      <c r="N21" s="11" t="s">
        <v>224</v>
      </c>
      <c r="O21" s="11" t="s">
        <v>225</v>
      </c>
      <c r="P21" s="11" t="s">
        <v>226</v>
      </c>
      <c r="Q21" s="11" t="s">
        <v>167</v>
      </c>
      <c r="R21" s="11" t="s">
        <v>227</v>
      </c>
      <c r="S21" s="11" t="s">
        <v>39</v>
      </c>
      <c r="T21" s="11"/>
      <c r="U21" s="28" t="s">
        <v>228</v>
      </c>
    </row>
    <row r="22" spans="1:21" ht="330.6" hidden="1" customHeight="1">
      <c r="A22" s="11" t="s">
        <v>229</v>
      </c>
      <c r="B22" s="11" t="s">
        <v>195</v>
      </c>
      <c r="C22" s="11">
        <v>4</v>
      </c>
      <c r="D22" s="11" t="s">
        <v>25</v>
      </c>
      <c r="E22" s="11" t="s">
        <v>230</v>
      </c>
      <c r="F22" s="11" t="s">
        <v>231</v>
      </c>
      <c r="G22" s="11" t="s">
        <v>232</v>
      </c>
      <c r="H22" s="11" t="s">
        <v>60</v>
      </c>
      <c r="I22" s="16">
        <v>1.5</v>
      </c>
      <c r="J22" s="11" t="s">
        <v>199</v>
      </c>
      <c r="K22" s="11" t="s">
        <v>233</v>
      </c>
      <c r="L22" s="11" t="s">
        <v>234</v>
      </c>
      <c r="M22" s="11" t="s">
        <v>223</v>
      </c>
      <c r="N22" s="11" t="s">
        <v>235</v>
      </c>
      <c r="O22" s="11" t="s">
        <v>236</v>
      </c>
      <c r="P22" s="11" t="s">
        <v>226</v>
      </c>
      <c r="Q22" s="11" t="s">
        <v>237</v>
      </c>
      <c r="R22" s="11" t="s">
        <v>238</v>
      </c>
      <c r="S22" s="11" t="s">
        <v>39</v>
      </c>
      <c r="T22" s="11"/>
      <c r="U22" s="28" t="s">
        <v>239</v>
      </c>
    </row>
    <row r="23" spans="1:21" ht="110.4" hidden="1" customHeight="1">
      <c r="A23" s="11" t="s">
        <v>240</v>
      </c>
      <c r="B23" s="11" t="s">
        <v>195</v>
      </c>
      <c r="C23" s="11">
        <v>5</v>
      </c>
      <c r="D23" s="11" t="s">
        <v>25</v>
      </c>
      <c r="E23" s="11" t="s">
        <v>241</v>
      </c>
      <c r="F23" s="11" t="s">
        <v>242</v>
      </c>
      <c r="G23" s="11" t="s">
        <v>243</v>
      </c>
      <c r="H23" s="11" t="s">
        <v>60</v>
      </c>
      <c r="I23" s="16">
        <v>1.25</v>
      </c>
      <c r="J23" s="11" t="s">
        <v>244</v>
      </c>
      <c r="K23" s="11" t="s">
        <v>245</v>
      </c>
      <c r="L23" s="11" t="s">
        <v>246</v>
      </c>
      <c r="M23" s="11" t="s">
        <v>247</v>
      </c>
      <c r="N23" s="11" t="s">
        <v>248</v>
      </c>
      <c r="O23" s="11" t="s">
        <v>249</v>
      </c>
      <c r="P23" s="11" t="s">
        <v>91</v>
      </c>
      <c r="Q23" s="11" t="s">
        <v>194</v>
      </c>
      <c r="R23" s="11" t="s">
        <v>250</v>
      </c>
      <c r="S23" s="11" t="s">
        <v>39</v>
      </c>
      <c r="T23" s="11"/>
      <c r="U23" s="28" t="s">
        <v>251</v>
      </c>
    </row>
    <row r="24" spans="1:21" ht="110.4" hidden="1" customHeight="1">
      <c r="A24" s="11" t="s">
        <v>252</v>
      </c>
      <c r="B24" s="11" t="s">
        <v>195</v>
      </c>
      <c r="C24" s="11">
        <v>6</v>
      </c>
      <c r="D24" s="11" t="s">
        <v>25</v>
      </c>
      <c r="E24" s="11" t="s">
        <v>253</v>
      </c>
      <c r="F24" s="11" t="s">
        <v>254</v>
      </c>
      <c r="G24" s="11" t="s">
        <v>255</v>
      </c>
      <c r="H24" s="11" t="s">
        <v>60</v>
      </c>
      <c r="I24" s="16">
        <v>1.5</v>
      </c>
      <c r="J24" s="11" t="s">
        <v>256</v>
      </c>
      <c r="K24" s="11" t="s">
        <v>257</v>
      </c>
      <c r="L24" s="11" t="s">
        <v>258</v>
      </c>
      <c r="M24" s="11" t="s">
        <v>259</v>
      </c>
      <c r="N24" s="11" t="s">
        <v>260</v>
      </c>
      <c r="O24" s="11" t="s">
        <v>261</v>
      </c>
      <c r="P24" s="11" t="s">
        <v>103</v>
      </c>
      <c r="Q24" s="11" t="s">
        <v>262</v>
      </c>
      <c r="R24" s="11" t="s">
        <v>263</v>
      </c>
      <c r="S24" s="11" t="s">
        <v>39</v>
      </c>
      <c r="T24" s="11"/>
      <c r="U24" s="28" t="s">
        <v>264</v>
      </c>
    </row>
    <row r="25" spans="1:21" ht="96.6" hidden="1" customHeight="1">
      <c r="A25" s="11" t="s">
        <v>265</v>
      </c>
      <c r="B25" s="11" t="s">
        <v>195</v>
      </c>
      <c r="C25" s="11">
        <v>7</v>
      </c>
      <c r="D25" s="11" t="s">
        <v>25</v>
      </c>
      <c r="E25" s="11" t="s">
        <v>266</v>
      </c>
      <c r="F25" s="11" t="s">
        <v>267</v>
      </c>
      <c r="G25" s="11" t="s">
        <v>268</v>
      </c>
      <c r="H25" s="11" t="s">
        <v>60</v>
      </c>
      <c r="I25" s="16">
        <v>1</v>
      </c>
      <c r="J25" s="11" t="s">
        <v>256</v>
      </c>
      <c r="K25" s="11" t="s">
        <v>269</v>
      </c>
      <c r="L25" s="11" t="s">
        <v>270</v>
      </c>
      <c r="M25" s="11" t="s">
        <v>271</v>
      </c>
      <c r="N25" s="11" t="s">
        <v>272</v>
      </c>
      <c r="O25" s="11" t="s">
        <v>273</v>
      </c>
      <c r="P25" s="11" t="s">
        <v>274</v>
      </c>
      <c r="Q25" s="11" t="s">
        <v>252</v>
      </c>
      <c r="R25" s="11" t="s">
        <v>275</v>
      </c>
      <c r="S25" s="11" t="s">
        <v>39</v>
      </c>
      <c r="T25" s="11"/>
      <c r="U25" s="28" t="s">
        <v>276</v>
      </c>
    </row>
    <row r="26" spans="1:21" ht="110.4" hidden="1" customHeight="1">
      <c r="A26" s="11" t="s">
        <v>277</v>
      </c>
      <c r="B26" s="11" t="s">
        <v>195</v>
      </c>
      <c r="C26" s="11">
        <v>8</v>
      </c>
      <c r="D26" s="11" t="s">
        <v>25</v>
      </c>
      <c r="E26" s="11" t="s">
        <v>278</v>
      </c>
      <c r="F26" s="11" t="s">
        <v>279</v>
      </c>
      <c r="G26" s="11" t="s">
        <v>280</v>
      </c>
      <c r="H26" s="11" t="s">
        <v>60</v>
      </c>
      <c r="I26" s="16">
        <v>1</v>
      </c>
      <c r="J26" s="11" t="s">
        <v>199</v>
      </c>
      <c r="K26" s="11" t="s">
        <v>281</v>
      </c>
      <c r="L26" s="11" t="s">
        <v>282</v>
      </c>
      <c r="M26" s="11" t="s">
        <v>283</v>
      </c>
      <c r="N26" s="11" t="s">
        <v>284</v>
      </c>
      <c r="O26" s="11" t="s">
        <v>285</v>
      </c>
      <c r="P26" s="11" t="s">
        <v>274</v>
      </c>
      <c r="Q26" s="11" t="s">
        <v>229</v>
      </c>
      <c r="R26" s="11" t="s">
        <v>286</v>
      </c>
      <c r="S26" s="11" t="s">
        <v>39</v>
      </c>
      <c r="T26" s="11"/>
      <c r="U26" s="28" t="s">
        <v>287</v>
      </c>
    </row>
    <row r="27" spans="1:21" ht="205.2" hidden="1" customHeight="1">
      <c r="A27" s="11" t="s">
        <v>288</v>
      </c>
      <c r="B27" s="11" t="s">
        <v>195</v>
      </c>
      <c r="C27" s="11">
        <v>9</v>
      </c>
      <c r="D27" s="11" t="s">
        <v>25</v>
      </c>
      <c r="E27" s="11" t="s">
        <v>289</v>
      </c>
      <c r="F27" s="11" t="s">
        <v>290</v>
      </c>
      <c r="G27" s="11" t="s">
        <v>291</v>
      </c>
      <c r="H27" s="11" t="s">
        <v>46</v>
      </c>
      <c r="I27" s="16">
        <v>1</v>
      </c>
      <c r="J27" s="11" t="s">
        <v>292</v>
      </c>
      <c r="K27" s="11" t="s">
        <v>293</v>
      </c>
      <c r="L27" s="11" t="s">
        <v>294</v>
      </c>
      <c r="M27" s="11" t="s">
        <v>295</v>
      </c>
      <c r="N27" s="11" t="s">
        <v>296</v>
      </c>
      <c r="O27" s="11" t="s">
        <v>297</v>
      </c>
      <c r="P27" s="11" t="s">
        <v>298</v>
      </c>
      <c r="Q27" s="11" t="s">
        <v>299</v>
      </c>
      <c r="R27" s="11" t="s">
        <v>300</v>
      </c>
      <c r="S27" s="11" t="s">
        <v>39</v>
      </c>
      <c r="T27" s="11"/>
      <c r="U27" s="28" t="s">
        <v>301</v>
      </c>
    </row>
    <row r="28" spans="1:21" ht="205.2" hidden="1" customHeight="1">
      <c r="A28" s="11" t="s">
        <v>302</v>
      </c>
      <c r="B28" s="11" t="s">
        <v>195</v>
      </c>
      <c r="C28" s="11">
        <v>10</v>
      </c>
      <c r="D28" s="11" t="s">
        <v>25</v>
      </c>
      <c r="E28" s="11" t="s">
        <v>144</v>
      </c>
      <c r="F28" s="11" t="s">
        <v>303</v>
      </c>
      <c r="G28" s="11" t="s">
        <v>304</v>
      </c>
      <c r="H28" s="11" t="s">
        <v>46</v>
      </c>
      <c r="I28" s="16">
        <v>1</v>
      </c>
      <c r="J28" s="11" t="s">
        <v>292</v>
      </c>
      <c r="K28" s="11" t="s">
        <v>305</v>
      </c>
      <c r="L28" s="11" t="s">
        <v>306</v>
      </c>
      <c r="M28" s="11" t="s">
        <v>307</v>
      </c>
      <c r="N28" s="11" t="s">
        <v>308</v>
      </c>
      <c r="O28" s="11" t="s">
        <v>309</v>
      </c>
      <c r="P28" s="11" t="s">
        <v>310</v>
      </c>
      <c r="Q28" s="11" t="s">
        <v>288</v>
      </c>
      <c r="R28" s="11" t="s">
        <v>311</v>
      </c>
      <c r="S28" s="11" t="s">
        <v>39</v>
      </c>
      <c r="T28" s="11"/>
      <c r="U28" s="28" t="s">
        <v>312</v>
      </c>
    </row>
    <row r="29" spans="1:21" ht="110.4" hidden="1" customHeight="1">
      <c r="A29" s="11" t="s">
        <v>313</v>
      </c>
      <c r="B29" s="11" t="s">
        <v>195</v>
      </c>
      <c r="C29" s="11">
        <v>11</v>
      </c>
      <c r="D29" s="11" t="s">
        <v>314</v>
      </c>
      <c r="E29" s="11" t="s">
        <v>315</v>
      </c>
      <c r="F29" s="11" t="s">
        <v>316</v>
      </c>
      <c r="G29" s="11" t="s">
        <v>317</v>
      </c>
      <c r="H29" s="11" t="s">
        <v>29</v>
      </c>
      <c r="I29" s="16">
        <v>0.75</v>
      </c>
      <c r="J29" s="11" t="s">
        <v>318</v>
      </c>
      <c r="K29" s="11" t="s">
        <v>37</v>
      </c>
      <c r="L29" s="11" t="s">
        <v>319</v>
      </c>
      <c r="M29" s="11" t="s">
        <v>320</v>
      </c>
      <c r="N29" s="11" t="s">
        <v>321</v>
      </c>
      <c r="O29" s="11" t="s">
        <v>322</v>
      </c>
      <c r="P29" s="11" t="s">
        <v>323</v>
      </c>
      <c r="Q29" s="11" t="s">
        <v>288</v>
      </c>
      <c r="R29" s="11" t="s">
        <v>324</v>
      </c>
      <c r="S29" s="11" t="s">
        <v>39</v>
      </c>
      <c r="T29" s="11"/>
      <c r="U29" s="28" t="s">
        <v>325</v>
      </c>
    </row>
    <row r="30" spans="1:21" ht="193.8" hidden="1" customHeight="1">
      <c r="A30" s="11" t="s">
        <v>326</v>
      </c>
      <c r="B30" s="11" t="s">
        <v>195</v>
      </c>
      <c r="C30" s="11">
        <v>12</v>
      </c>
      <c r="D30" s="11" t="s">
        <v>25</v>
      </c>
      <c r="E30" s="11" t="s">
        <v>168</v>
      </c>
      <c r="F30" s="11" t="s">
        <v>327</v>
      </c>
      <c r="G30" s="11" t="s">
        <v>328</v>
      </c>
      <c r="H30" s="11" t="s">
        <v>29</v>
      </c>
      <c r="I30" s="16">
        <v>0.75</v>
      </c>
      <c r="J30" s="11" t="s">
        <v>329</v>
      </c>
      <c r="K30" s="11" t="s">
        <v>330</v>
      </c>
      <c r="L30" s="11" t="s">
        <v>331</v>
      </c>
      <c r="M30" s="11" t="s">
        <v>332</v>
      </c>
      <c r="N30" s="11" t="s">
        <v>333</v>
      </c>
      <c r="O30" s="11" t="s">
        <v>334</v>
      </c>
      <c r="P30" s="11" t="s">
        <v>52</v>
      </c>
      <c r="Q30" s="11" t="s">
        <v>335</v>
      </c>
      <c r="R30" s="11" t="s">
        <v>336</v>
      </c>
      <c r="S30" s="11" t="s">
        <v>39</v>
      </c>
      <c r="T30" s="11"/>
      <c r="U30" s="28" t="s">
        <v>337</v>
      </c>
    </row>
    <row r="31" spans="1:21" ht="69" hidden="1" customHeight="1">
      <c r="A31" s="11" t="s">
        <v>338</v>
      </c>
      <c r="B31" s="11" t="s">
        <v>195</v>
      </c>
      <c r="C31" s="11">
        <v>13</v>
      </c>
      <c r="D31" s="11" t="s">
        <v>25</v>
      </c>
      <c r="E31" s="11" t="s">
        <v>182</v>
      </c>
      <c r="F31" s="11" t="s">
        <v>339</v>
      </c>
      <c r="G31" s="11" t="s">
        <v>340</v>
      </c>
      <c r="H31" s="11" t="s">
        <v>46</v>
      </c>
      <c r="I31" s="16">
        <v>1</v>
      </c>
      <c r="J31" s="11" t="s">
        <v>185</v>
      </c>
      <c r="K31" s="11" t="s">
        <v>37</v>
      </c>
      <c r="L31" s="11" t="s">
        <v>341</v>
      </c>
      <c r="M31" s="11" t="s">
        <v>342</v>
      </c>
      <c r="N31" s="11" t="s">
        <v>188</v>
      </c>
      <c r="O31" s="11" t="s">
        <v>343</v>
      </c>
      <c r="P31" s="11" t="s">
        <v>323</v>
      </c>
      <c r="Q31" s="11" t="s">
        <v>326</v>
      </c>
      <c r="R31" s="11" t="s">
        <v>191</v>
      </c>
      <c r="S31" s="11" t="s">
        <v>39</v>
      </c>
      <c r="T31" s="11" t="s">
        <v>344</v>
      </c>
      <c r="U31" s="28" t="s">
        <v>345</v>
      </c>
    </row>
    <row r="32" spans="1:21" ht="110.4" hidden="1" customHeight="1">
      <c r="A32" s="11" t="s">
        <v>346</v>
      </c>
      <c r="B32" s="11" t="s">
        <v>347</v>
      </c>
      <c r="C32" s="11">
        <v>1</v>
      </c>
      <c r="D32" s="11" t="s">
        <v>25</v>
      </c>
      <c r="E32" s="11" t="s">
        <v>348</v>
      </c>
      <c r="F32" s="11" t="s">
        <v>349</v>
      </c>
      <c r="G32" s="11" t="s">
        <v>350</v>
      </c>
      <c r="H32" s="11" t="s">
        <v>60</v>
      </c>
      <c r="I32" s="16">
        <v>1</v>
      </c>
      <c r="J32" s="11" t="s">
        <v>351</v>
      </c>
      <c r="K32" s="11" t="s">
        <v>352</v>
      </c>
      <c r="L32" s="11" t="s">
        <v>353</v>
      </c>
      <c r="M32" s="11" t="s">
        <v>354</v>
      </c>
      <c r="N32" s="11" t="s">
        <v>355</v>
      </c>
      <c r="O32" s="11" t="s">
        <v>356</v>
      </c>
      <c r="P32" s="11" t="s">
        <v>357</v>
      </c>
      <c r="Q32" s="11" t="s">
        <v>338</v>
      </c>
      <c r="R32" s="11" t="s">
        <v>358</v>
      </c>
      <c r="S32" s="11" t="s">
        <v>39</v>
      </c>
      <c r="T32" s="11"/>
      <c r="U32" s="28" t="s">
        <v>359</v>
      </c>
    </row>
    <row r="33" spans="1:21" ht="110.4" hidden="1" customHeight="1">
      <c r="A33" s="11" t="s">
        <v>360</v>
      </c>
      <c r="B33" s="11" t="s">
        <v>347</v>
      </c>
      <c r="C33" s="11">
        <v>2</v>
      </c>
      <c r="D33" s="11" t="s">
        <v>25</v>
      </c>
      <c r="E33" s="11" t="s">
        <v>361</v>
      </c>
      <c r="F33" s="11" t="s">
        <v>362</v>
      </c>
      <c r="G33" s="11" t="s">
        <v>363</v>
      </c>
      <c r="H33" s="11" t="s">
        <v>60</v>
      </c>
      <c r="I33" s="16">
        <v>1.25</v>
      </c>
      <c r="J33" s="11" t="s">
        <v>351</v>
      </c>
      <c r="K33" s="11" t="s">
        <v>364</v>
      </c>
      <c r="L33" s="11" t="s">
        <v>365</v>
      </c>
      <c r="M33" s="11" t="s">
        <v>366</v>
      </c>
      <c r="N33" s="11" t="s">
        <v>367</v>
      </c>
      <c r="O33" s="11" t="s">
        <v>368</v>
      </c>
      <c r="P33" s="11" t="s">
        <v>369</v>
      </c>
      <c r="Q33" s="11" t="s">
        <v>346</v>
      </c>
      <c r="R33" s="11" t="s">
        <v>370</v>
      </c>
      <c r="S33" s="11" t="s">
        <v>39</v>
      </c>
      <c r="T33" s="11"/>
      <c r="U33" s="28" t="s">
        <v>371</v>
      </c>
    </row>
    <row r="34" spans="1:21" ht="96.6" hidden="1" customHeight="1">
      <c r="A34" s="11" t="s">
        <v>372</v>
      </c>
      <c r="B34" s="11" t="s">
        <v>347</v>
      </c>
      <c r="C34" s="11">
        <v>3</v>
      </c>
      <c r="D34" s="11" t="s">
        <v>25</v>
      </c>
      <c r="E34" s="11" t="s">
        <v>373</v>
      </c>
      <c r="F34" s="11" t="s">
        <v>374</v>
      </c>
      <c r="G34" s="11" t="s">
        <v>375</v>
      </c>
      <c r="H34" s="11" t="s">
        <v>60</v>
      </c>
      <c r="I34" s="16">
        <v>0.75</v>
      </c>
      <c r="J34" s="11" t="s">
        <v>351</v>
      </c>
      <c r="K34" s="11" t="s">
        <v>37</v>
      </c>
      <c r="L34" s="11" t="s">
        <v>376</v>
      </c>
      <c r="M34" s="11" t="s">
        <v>377</v>
      </c>
      <c r="N34" s="11" t="s">
        <v>378</v>
      </c>
      <c r="O34" s="11" t="s">
        <v>379</v>
      </c>
      <c r="P34" s="11" t="s">
        <v>380</v>
      </c>
      <c r="Q34" s="11" t="s">
        <v>346</v>
      </c>
      <c r="R34" s="11" t="s">
        <v>381</v>
      </c>
      <c r="S34" s="11" t="s">
        <v>39</v>
      </c>
      <c r="T34" s="11"/>
      <c r="U34" s="28" t="s">
        <v>382</v>
      </c>
    </row>
    <row r="35" spans="1:21" ht="110.4" hidden="1" customHeight="1">
      <c r="A35" s="11" t="s">
        <v>383</v>
      </c>
      <c r="B35" s="11" t="s">
        <v>347</v>
      </c>
      <c r="C35" s="11">
        <v>4</v>
      </c>
      <c r="D35" s="11" t="s">
        <v>25</v>
      </c>
      <c r="E35" s="11" t="s">
        <v>384</v>
      </c>
      <c r="F35" s="11" t="s">
        <v>385</v>
      </c>
      <c r="G35" s="11" t="s">
        <v>386</v>
      </c>
      <c r="H35" s="11" t="s">
        <v>60</v>
      </c>
      <c r="I35" s="16">
        <v>1.5</v>
      </c>
      <c r="J35" s="11" t="s">
        <v>351</v>
      </c>
      <c r="K35" s="11" t="s">
        <v>387</v>
      </c>
      <c r="L35" s="11" t="s">
        <v>388</v>
      </c>
      <c r="M35" s="11" t="s">
        <v>389</v>
      </c>
      <c r="N35" s="11" t="s">
        <v>390</v>
      </c>
      <c r="O35" s="11" t="s">
        <v>391</v>
      </c>
      <c r="P35" s="11" t="s">
        <v>380</v>
      </c>
      <c r="Q35" s="11" t="s">
        <v>392</v>
      </c>
      <c r="R35" s="11" t="s">
        <v>393</v>
      </c>
      <c r="S35" s="11" t="s">
        <v>39</v>
      </c>
      <c r="T35" s="11"/>
      <c r="U35" s="28" t="s">
        <v>394</v>
      </c>
    </row>
    <row r="36" spans="1:21" ht="110.4" hidden="1" customHeight="1">
      <c r="A36" s="11" t="s">
        <v>395</v>
      </c>
      <c r="B36" s="11" t="s">
        <v>347</v>
      </c>
      <c r="C36" s="11">
        <v>5</v>
      </c>
      <c r="D36" s="11" t="s">
        <v>25</v>
      </c>
      <c r="E36" s="11" t="s">
        <v>396</v>
      </c>
      <c r="F36" s="11" t="s">
        <v>397</v>
      </c>
      <c r="G36" s="11" t="s">
        <v>398</v>
      </c>
      <c r="H36" s="11" t="s">
        <v>60</v>
      </c>
      <c r="I36" s="16">
        <v>1</v>
      </c>
      <c r="J36" s="11" t="s">
        <v>399</v>
      </c>
      <c r="K36" s="11" t="s">
        <v>400</v>
      </c>
      <c r="L36" s="11" t="s">
        <v>401</v>
      </c>
      <c r="M36" s="11" t="s">
        <v>402</v>
      </c>
      <c r="N36" s="11" t="s">
        <v>403</v>
      </c>
      <c r="O36" s="11" t="s">
        <v>404</v>
      </c>
      <c r="P36" s="11" t="s">
        <v>274</v>
      </c>
      <c r="Q36" s="11" t="s">
        <v>383</v>
      </c>
      <c r="R36" s="11" t="s">
        <v>405</v>
      </c>
      <c r="S36" s="11" t="s">
        <v>39</v>
      </c>
      <c r="T36" s="11"/>
      <c r="U36" s="28" t="s">
        <v>406</v>
      </c>
    </row>
    <row r="37" spans="1:21" ht="110.4" hidden="1" customHeight="1">
      <c r="A37" s="11" t="s">
        <v>407</v>
      </c>
      <c r="B37" s="11" t="s">
        <v>347</v>
      </c>
      <c r="C37" s="11">
        <v>6</v>
      </c>
      <c r="D37" s="11" t="s">
        <v>25</v>
      </c>
      <c r="E37" s="11" t="s">
        <v>408</v>
      </c>
      <c r="F37" s="11" t="s">
        <v>409</v>
      </c>
      <c r="G37" s="11" t="s">
        <v>410</v>
      </c>
      <c r="H37" s="11" t="s">
        <v>29</v>
      </c>
      <c r="I37" s="16">
        <v>1.25</v>
      </c>
      <c r="J37" s="11" t="s">
        <v>411</v>
      </c>
      <c r="K37" s="11" t="s">
        <v>412</v>
      </c>
      <c r="L37" s="11" t="s">
        <v>413</v>
      </c>
      <c r="M37" s="11" t="s">
        <v>414</v>
      </c>
      <c r="N37" s="11" t="s">
        <v>415</v>
      </c>
      <c r="O37" s="11" t="s">
        <v>416</v>
      </c>
      <c r="P37" s="11" t="s">
        <v>103</v>
      </c>
      <c r="Q37" s="11" t="s">
        <v>288</v>
      </c>
      <c r="R37" s="11" t="s">
        <v>417</v>
      </c>
      <c r="S37" s="11" t="s">
        <v>39</v>
      </c>
      <c r="T37" s="11"/>
      <c r="U37" s="28" t="s">
        <v>418</v>
      </c>
    </row>
    <row r="38" spans="1:21" ht="110.4" hidden="1" customHeight="1">
      <c r="A38" s="11" t="s">
        <v>419</v>
      </c>
      <c r="B38" s="11" t="s">
        <v>347</v>
      </c>
      <c r="C38" s="11">
        <v>7</v>
      </c>
      <c r="D38" s="11" t="s">
        <v>25</v>
      </c>
      <c r="E38" s="11" t="s">
        <v>420</v>
      </c>
      <c r="F38" s="11" t="s">
        <v>421</v>
      </c>
      <c r="G38" s="11" t="s">
        <v>422</v>
      </c>
      <c r="H38" s="11" t="s">
        <v>60</v>
      </c>
      <c r="I38" s="16">
        <v>1.5</v>
      </c>
      <c r="J38" s="11" t="s">
        <v>411</v>
      </c>
      <c r="K38" s="11" t="s">
        <v>423</v>
      </c>
      <c r="L38" s="11" t="s">
        <v>424</v>
      </c>
      <c r="M38" s="11" t="s">
        <v>425</v>
      </c>
      <c r="N38" s="11" t="s">
        <v>426</v>
      </c>
      <c r="O38" s="11" t="s">
        <v>427</v>
      </c>
      <c r="P38" s="11" t="s">
        <v>103</v>
      </c>
      <c r="Q38" s="11" t="s">
        <v>428</v>
      </c>
      <c r="R38" s="11" t="s">
        <v>429</v>
      </c>
      <c r="S38" s="11" t="s">
        <v>39</v>
      </c>
      <c r="T38" s="11"/>
      <c r="U38" s="28" t="s">
        <v>430</v>
      </c>
    </row>
    <row r="39" spans="1:21" ht="110.4" hidden="1" customHeight="1">
      <c r="A39" s="11" t="s">
        <v>431</v>
      </c>
      <c r="B39" s="11" t="s">
        <v>347</v>
      </c>
      <c r="C39" s="11">
        <v>8</v>
      </c>
      <c r="D39" s="11" t="s">
        <v>25</v>
      </c>
      <c r="E39" s="11" t="s">
        <v>432</v>
      </c>
      <c r="F39" s="11" t="s">
        <v>433</v>
      </c>
      <c r="G39" s="11" t="s">
        <v>434</v>
      </c>
      <c r="H39" s="11" t="s">
        <v>60</v>
      </c>
      <c r="I39" s="16">
        <v>1</v>
      </c>
      <c r="J39" s="11" t="s">
        <v>399</v>
      </c>
      <c r="K39" s="11" t="s">
        <v>281</v>
      </c>
      <c r="L39" s="11" t="s">
        <v>435</v>
      </c>
      <c r="M39" s="11" t="s">
        <v>436</v>
      </c>
      <c r="N39" s="11" t="s">
        <v>437</v>
      </c>
      <c r="O39" s="11" t="s">
        <v>438</v>
      </c>
      <c r="P39" s="11" t="s">
        <v>274</v>
      </c>
      <c r="Q39" s="11" t="s">
        <v>395</v>
      </c>
      <c r="R39" s="11" t="s">
        <v>439</v>
      </c>
      <c r="S39" s="11" t="s">
        <v>39</v>
      </c>
      <c r="T39" s="11"/>
      <c r="U39" s="28" t="s">
        <v>440</v>
      </c>
    </row>
    <row r="40" spans="1:21" ht="110.4" hidden="1" customHeight="1">
      <c r="A40" s="11" t="s">
        <v>441</v>
      </c>
      <c r="B40" s="11" t="s">
        <v>347</v>
      </c>
      <c r="C40" s="11">
        <v>9</v>
      </c>
      <c r="D40" s="11" t="s">
        <v>25</v>
      </c>
      <c r="E40" s="11" t="s">
        <v>442</v>
      </c>
      <c r="F40" s="11" t="s">
        <v>443</v>
      </c>
      <c r="G40" s="11" t="s">
        <v>444</v>
      </c>
      <c r="H40" s="11" t="s">
        <v>60</v>
      </c>
      <c r="I40" s="16">
        <v>0.75</v>
      </c>
      <c r="J40" s="11" t="s">
        <v>445</v>
      </c>
      <c r="K40" s="11" t="s">
        <v>446</v>
      </c>
      <c r="L40" s="11" t="s">
        <v>447</v>
      </c>
      <c r="M40" s="11" t="s">
        <v>448</v>
      </c>
      <c r="N40" s="11" t="s">
        <v>449</v>
      </c>
      <c r="O40" s="11" t="s">
        <v>450</v>
      </c>
      <c r="P40" s="11" t="s">
        <v>451</v>
      </c>
      <c r="Q40" s="11" t="s">
        <v>383</v>
      </c>
      <c r="R40" s="11" t="s">
        <v>452</v>
      </c>
      <c r="S40" s="11" t="s">
        <v>39</v>
      </c>
      <c r="T40" s="11"/>
      <c r="U40" s="28" t="s">
        <v>453</v>
      </c>
    </row>
    <row r="41" spans="1:21" ht="110.4" hidden="1" customHeight="1">
      <c r="A41" s="11" t="s">
        <v>454</v>
      </c>
      <c r="B41" s="11" t="s">
        <v>347</v>
      </c>
      <c r="C41" s="11">
        <v>10</v>
      </c>
      <c r="D41" s="11" t="s">
        <v>25</v>
      </c>
      <c r="E41" s="11" t="s">
        <v>455</v>
      </c>
      <c r="F41" s="11" t="s">
        <v>456</v>
      </c>
      <c r="G41" s="11" t="s">
        <v>457</v>
      </c>
      <c r="H41" s="11" t="s">
        <v>46</v>
      </c>
      <c r="I41" s="16">
        <v>0.75</v>
      </c>
      <c r="J41" s="11" t="s">
        <v>411</v>
      </c>
      <c r="K41" s="11" t="s">
        <v>458</v>
      </c>
      <c r="L41" s="11" t="s">
        <v>459</v>
      </c>
      <c r="M41" s="11" t="s">
        <v>460</v>
      </c>
      <c r="N41" s="11" t="s">
        <v>461</v>
      </c>
      <c r="O41" s="11" t="s">
        <v>462</v>
      </c>
      <c r="P41" s="11" t="s">
        <v>103</v>
      </c>
      <c r="Q41" s="11" t="s">
        <v>419</v>
      </c>
      <c r="R41" s="11" t="s">
        <v>463</v>
      </c>
      <c r="S41" s="11" t="s">
        <v>39</v>
      </c>
      <c r="T41" s="11"/>
      <c r="U41" s="28" t="s">
        <v>464</v>
      </c>
    </row>
    <row r="42" spans="1:21" ht="193.8" hidden="1" customHeight="1">
      <c r="A42" s="11" t="s">
        <v>465</v>
      </c>
      <c r="B42" s="11" t="s">
        <v>347</v>
      </c>
      <c r="C42" s="11">
        <v>11</v>
      </c>
      <c r="D42" s="11" t="s">
        <v>25</v>
      </c>
      <c r="E42" s="11" t="s">
        <v>466</v>
      </c>
      <c r="F42" s="11" t="s">
        <v>467</v>
      </c>
      <c r="G42" s="11" t="s">
        <v>468</v>
      </c>
      <c r="H42" s="11" t="s">
        <v>46</v>
      </c>
      <c r="I42" s="16">
        <v>1</v>
      </c>
      <c r="J42" s="11" t="s">
        <v>469</v>
      </c>
      <c r="K42" s="11" t="s">
        <v>37</v>
      </c>
      <c r="L42" s="11" t="s">
        <v>470</v>
      </c>
      <c r="M42" s="11" t="s">
        <v>471</v>
      </c>
      <c r="N42" s="11" t="s">
        <v>472</v>
      </c>
      <c r="O42" s="11" t="s">
        <v>473</v>
      </c>
      <c r="P42" s="11" t="s">
        <v>474</v>
      </c>
      <c r="Q42" s="11" t="s">
        <v>454</v>
      </c>
      <c r="R42" s="11" t="s">
        <v>475</v>
      </c>
      <c r="S42" s="11" t="s">
        <v>39</v>
      </c>
      <c r="T42" s="11"/>
      <c r="U42" s="28" t="s">
        <v>476</v>
      </c>
    </row>
    <row r="43" spans="1:21" ht="193.8" hidden="1" customHeight="1">
      <c r="A43" s="11" t="s">
        <v>477</v>
      </c>
      <c r="B43" s="11" t="s">
        <v>347</v>
      </c>
      <c r="C43" s="11">
        <v>12</v>
      </c>
      <c r="D43" s="11" t="s">
        <v>25</v>
      </c>
      <c r="E43" s="11" t="s">
        <v>168</v>
      </c>
      <c r="F43" s="11" t="s">
        <v>478</v>
      </c>
      <c r="G43" s="11" t="s">
        <v>479</v>
      </c>
      <c r="H43" s="11" t="s">
        <v>29</v>
      </c>
      <c r="I43" s="16">
        <v>0.75</v>
      </c>
      <c r="J43" s="11" t="s">
        <v>480</v>
      </c>
      <c r="K43" s="11" t="s">
        <v>481</v>
      </c>
      <c r="L43" s="11" t="s">
        <v>482</v>
      </c>
      <c r="M43" s="11" t="s">
        <v>483</v>
      </c>
      <c r="N43" s="11" t="s">
        <v>484</v>
      </c>
      <c r="O43" s="11" t="s">
        <v>485</v>
      </c>
      <c r="P43" s="11" t="s">
        <v>52</v>
      </c>
      <c r="Q43" s="11" t="s">
        <v>486</v>
      </c>
      <c r="R43" s="11" t="s">
        <v>487</v>
      </c>
      <c r="S43" s="11" t="s">
        <v>39</v>
      </c>
      <c r="T43" s="11"/>
      <c r="U43" s="28" t="s">
        <v>488</v>
      </c>
    </row>
    <row r="44" spans="1:21" ht="69" hidden="1" customHeight="1">
      <c r="A44" s="11" t="s">
        <v>489</v>
      </c>
      <c r="B44" s="11" t="s">
        <v>347</v>
      </c>
      <c r="C44" s="11">
        <v>13</v>
      </c>
      <c r="D44" s="11" t="s">
        <v>25</v>
      </c>
      <c r="E44" s="11" t="s">
        <v>182</v>
      </c>
      <c r="F44" s="11" t="s">
        <v>490</v>
      </c>
      <c r="G44" s="11" t="s">
        <v>491</v>
      </c>
      <c r="H44" s="11" t="s">
        <v>46</v>
      </c>
      <c r="I44" s="16">
        <v>1</v>
      </c>
      <c r="J44" s="11" t="s">
        <v>185</v>
      </c>
      <c r="K44" s="11" t="s">
        <v>37</v>
      </c>
      <c r="L44" s="11" t="s">
        <v>492</v>
      </c>
      <c r="M44" s="11" t="s">
        <v>493</v>
      </c>
      <c r="N44" s="11" t="s">
        <v>188</v>
      </c>
      <c r="O44" s="11" t="s">
        <v>494</v>
      </c>
      <c r="P44" s="11" t="s">
        <v>495</v>
      </c>
      <c r="Q44" s="11" t="s">
        <v>477</v>
      </c>
      <c r="R44" s="11" t="s">
        <v>191</v>
      </c>
      <c r="S44" s="11" t="s">
        <v>39</v>
      </c>
      <c r="T44" s="11" t="s">
        <v>496</v>
      </c>
      <c r="U44" s="28" t="s">
        <v>497</v>
      </c>
    </row>
    <row r="45" spans="1:21" ht="110.4" hidden="1" customHeight="1">
      <c r="A45" s="11" t="s">
        <v>498</v>
      </c>
      <c r="B45" s="11" t="s">
        <v>499</v>
      </c>
      <c r="C45" s="11">
        <v>1</v>
      </c>
      <c r="D45" s="11" t="s">
        <v>25</v>
      </c>
      <c r="E45" s="11" t="s">
        <v>500</v>
      </c>
      <c r="F45" s="11" t="s">
        <v>501</v>
      </c>
      <c r="G45" s="11" t="s">
        <v>502</v>
      </c>
      <c r="H45" s="11" t="s">
        <v>60</v>
      </c>
      <c r="I45" s="16">
        <v>1.5</v>
      </c>
      <c r="J45" s="11" t="s">
        <v>503</v>
      </c>
      <c r="K45" s="11" t="s">
        <v>281</v>
      </c>
      <c r="L45" s="11" t="s">
        <v>504</v>
      </c>
      <c r="M45" s="11" t="s">
        <v>505</v>
      </c>
      <c r="N45" s="11" t="s">
        <v>506</v>
      </c>
      <c r="O45" s="11" t="s">
        <v>507</v>
      </c>
      <c r="P45" s="11" t="s">
        <v>508</v>
      </c>
      <c r="Q45" s="11" t="s">
        <v>489</v>
      </c>
      <c r="R45" s="11" t="s">
        <v>509</v>
      </c>
      <c r="S45" s="11" t="s">
        <v>39</v>
      </c>
      <c r="T45" s="11"/>
      <c r="U45" s="28" t="s">
        <v>510</v>
      </c>
    </row>
    <row r="46" spans="1:21" ht="110.4" hidden="1" customHeight="1">
      <c r="A46" s="11" t="s">
        <v>511</v>
      </c>
      <c r="B46" s="11" t="s">
        <v>499</v>
      </c>
      <c r="C46" s="11">
        <v>2</v>
      </c>
      <c r="D46" s="11" t="s">
        <v>25</v>
      </c>
      <c r="E46" s="11" t="s">
        <v>278</v>
      </c>
      <c r="F46" s="11" t="s">
        <v>512</v>
      </c>
      <c r="G46" s="11" t="s">
        <v>513</v>
      </c>
      <c r="H46" s="11" t="s">
        <v>60</v>
      </c>
      <c r="I46" s="16">
        <v>1</v>
      </c>
      <c r="J46" s="11" t="s">
        <v>503</v>
      </c>
      <c r="K46" s="11" t="s">
        <v>281</v>
      </c>
      <c r="L46" s="11" t="s">
        <v>514</v>
      </c>
      <c r="M46" s="11" t="s">
        <v>515</v>
      </c>
      <c r="N46" s="11" t="s">
        <v>516</v>
      </c>
      <c r="O46" s="11" t="s">
        <v>517</v>
      </c>
      <c r="P46" s="11" t="s">
        <v>274</v>
      </c>
      <c r="Q46" s="11" t="s">
        <v>498</v>
      </c>
      <c r="R46" s="11" t="s">
        <v>518</v>
      </c>
      <c r="S46" s="11" t="s">
        <v>39</v>
      </c>
      <c r="T46" s="11"/>
      <c r="U46" s="28" t="s">
        <v>519</v>
      </c>
    </row>
    <row r="47" spans="1:21" ht="110.4" hidden="1" customHeight="1">
      <c r="A47" s="11" t="s">
        <v>520</v>
      </c>
      <c r="B47" s="11" t="s">
        <v>499</v>
      </c>
      <c r="C47" s="11">
        <v>3</v>
      </c>
      <c r="D47" s="11" t="s">
        <v>25</v>
      </c>
      <c r="E47" s="11" t="s">
        <v>521</v>
      </c>
      <c r="F47" s="11" t="s">
        <v>522</v>
      </c>
      <c r="G47" s="11" t="s">
        <v>523</v>
      </c>
      <c r="H47" s="11" t="s">
        <v>60</v>
      </c>
      <c r="I47" s="16">
        <v>1.25</v>
      </c>
      <c r="J47" s="11" t="s">
        <v>524</v>
      </c>
      <c r="K47" s="11" t="s">
        <v>481</v>
      </c>
      <c r="L47" s="11" t="s">
        <v>525</v>
      </c>
      <c r="M47" s="11" t="s">
        <v>526</v>
      </c>
      <c r="N47" s="11" t="s">
        <v>527</v>
      </c>
      <c r="O47" s="11" t="s">
        <v>528</v>
      </c>
      <c r="P47" s="11" t="s">
        <v>529</v>
      </c>
      <c r="Q47" s="11" t="s">
        <v>511</v>
      </c>
      <c r="R47" s="11" t="s">
        <v>530</v>
      </c>
      <c r="S47" s="11" t="s">
        <v>39</v>
      </c>
      <c r="T47" s="11"/>
      <c r="U47" s="28" t="s">
        <v>531</v>
      </c>
    </row>
    <row r="48" spans="1:21" ht="96.6" hidden="1" customHeight="1">
      <c r="A48" s="11" t="s">
        <v>532</v>
      </c>
      <c r="B48" s="11" t="s">
        <v>499</v>
      </c>
      <c r="C48" s="11">
        <v>4</v>
      </c>
      <c r="D48" s="11" t="s">
        <v>25</v>
      </c>
      <c r="E48" s="11" t="s">
        <v>533</v>
      </c>
      <c r="F48" s="11" t="s">
        <v>534</v>
      </c>
      <c r="G48" s="11" t="s">
        <v>535</v>
      </c>
      <c r="H48" s="11" t="s">
        <v>60</v>
      </c>
      <c r="I48" s="16">
        <v>0.75</v>
      </c>
      <c r="J48" s="11" t="s">
        <v>524</v>
      </c>
      <c r="K48" s="11" t="s">
        <v>37</v>
      </c>
      <c r="L48" s="11" t="s">
        <v>536</v>
      </c>
      <c r="M48" s="11" t="s">
        <v>537</v>
      </c>
      <c r="N48" s="11" t="s">
        <v>538</v>
      </c>
      <c r="O48" s="11" t="s">
        <v>539</v>
      </c>
      <c r="P48" s="11" t="s">
        <v>529</v>
      </c>
      <c r="Q48" s="11" t="s">
        <v>520</v>
      </c>
      <c r="R48" s="11" t="s">
        <v>540</v>
      </c>
      <c r="S48" s="11" t="s">
        <v>39</v>
      </c>
      <c r="T48" s="11"/>
      <c r="U48" s="28" t="s">
        <v>541</v>
      </c>
    </row>
    <row r="49" spans="1:21" ht="96.6" hidden="1" customHeight="1">
      <c r="A49" s="11" t="s">
        <v>542</v>
      </c>
      <c r="B49" s="11" t="s">
        <v>499</v>
      </c>
      <c r="C49" s="11">
        <v>5</v>
      </c>
      <c r="D49" s="11" t="s">
        <v>25</v>
      </c>
      <c r="E49" s="11" t="s">
        <v>543</v>
      </c>
      <c r="F49" s="11" t="s">
        <v>544</v>
      </c>
      <c r="G49" s="11" t="s">
        <v>545</v>
      </c>
      <c r="H49" s="11" t="s">
        <v>60</v>
      </c>
      <c r="I49" s="16">
        <v>1.25</v>
      </c>
      <c r="J49" s="11" t="s">
        <v>524</v>
      </c>
      <c r="K49" s="11" t="s">
        <v>481</v>
      </c>
      <c r="L49" s="11" t="s">
        <v>546</v>
      </c>
      <c r="M49" s="11" t="s">
        <v>547</v>
      </c>
      <c r="N49" s="11" t="s">
        <v>548</v>
      </c>
      <c r="O49" s="11" t="s">
        <v>549</v>
      </c>
      <c r="P49" s="11" t="s">
        <v>550</v>
      </c>
      <c r="Q49" s="11" t="s">
        <v>551</v>
      </c>
      <c r="R49" s="11" t="s">
        <v>552</v>
      </c>
      <c r="S49" s="11" t="s">
        <v>39</v>
      </c>
      <c r="T49" s="11"/>
      <c r="U49" s="28" t="s">
        <v>553</v>
      </c>
    </row>
    <row r="50" spans="1:21" ht="110.4" hidden="1" customHeight="1">
      <c r="A50" s="11" t="s">
        <v>554</v>
      </c>
      <c r="B50" s="11" t="s">
        <v>499</v>
      </c>
      <c r="C50" s="11">
        <v>6</v>
      </c>
      <c r="D50" s="11" t="s">
        <v>25</v>
      </c>
      <c r="E50" s="11" t="s">
        <v>555</v>
      </c>
      <c r="F50" s="11" t="s">
        <v>556</v>
      </c>
      <c r="G50" s="11" t="s">
        <v>557</v>
      </c>
      <c r="H50" s="11" t="s">
        <v>60</v>
      </c>
      <c r="I50" s="16">
        <v>1</v>
      </c>
      <c r="J50" s="11" t="s">
        <v>524</v>
      </c>
      <c r="K50" s="11" t="s">
        <v>558</v>
      </c>
      <c r="L50" s="11" t="s">
        <v>559</v>
      </c>
      <c r="M50" s="11" t="s">
        <v>560</v>
      </c>
      <c r="N50" s="11" t="s">
        <v>561</v>
      </c>
      <c r="O50" s="11" t="s">
        <v>562</v>
      </c>
      <c r="P50" s="11" t="s">
        <v>529</v>
      </c>
      <c r="Q50" s="11" t="s">
        <v>520</v>
      </c>
      <c r="R50" s="11" t="s">
        <v>563</v>
      </c>
      <c r="S50" s="11" t="s">
        <v>39</v>
      </c>
      <c r="T50" s="11"/>
      <c r="U50" s="28" t="s">
        <v>564</v>
      </c>
    </row>
    <row r="51" spans="1:21" ht="96.6" hidden="1" customHeight="1">
      <c r="A51" s="11" t="s">
        <v>565</v>
      </c>
      <c r="B51" s="11" t="s">
        <v>499</v>
      </c>
      <c r="C51" s="11">
        <v>7</v>
      </c>
      <c r="D51" s="11" t="s">
        <v>25</v>
      </c>
      <c r="E51" s="11" t="s">
        <v>566</v>
      </c>
      <c r="F51" s="11" t="s">
        <v>567</v>
      </c>
      <c r="G51" s="11" t="s">
        <v>568</v>
      </c>
      <c r="H51" s="11" t="s">
        <v>60</v>
      </c>
      <c r="I51" s="16">
        <v>0.75</v>
      </c>
      <c r="J51" s="11" t="s">
        <v>524</v>
      </c>
      <c r="K51" s="11" t="s">
        <v>569</v>
      </c>
      <c r="L51" s="11" t="s">
        <v>570</v>
      </c>
      <c r="M51" s="11" t="s">
        <v>571</v>
      </c>
      <c r="N51" s="11" t="s">
        <v>572</v>
      </c>
      <c r="O51" s="11" t="s">
        <v>573</v>
      </c>
      <c r="P51" s="11" t="s">
        <v>274</v>
      </c>
      <c r="Q51" s="11" t="s">
        <v>542</v>
      </c>
      <c r="R51" s="11" t="s">
        <v>574</v>
      </c>
      <c r="S51" s="11" t="s">
        <v>39</v>
      </c>
      <c r="T51" s="11"/>
      <c r="U51" s="28" t="s">
        <v>575</v>
      </c>
    </row>
    <row r="52" spans="1:21" ht="110.4" hidden="1" customHeight="1">
      <c r="A52" s="11" t="s">
        <v>576</v>
      </c>
      <c r="B52" s="11" t="s">
        <v>499</v>
      </c>
      <c r="C52" s="11">
        <v>8</v>
      </c>
      <c r="D52" s="11" t="s">
        <v>25</v>
      </c>
      <c r="E52" s="11" t="s">
        <v>577</v>
      </c>
      <c r="F52" s="11" t="s">
        <v>578</v>
      </c>
      <c r="G52" s="11" t="s">
        <v>579</v>
      </c>
      <c r="H52" s="11" t="s">
        <v>60</v>
      </c>
      <c r="I52" s="16">
        <v>1</v>
      </c>
      <c r="J52" s="11" t="s">
        <v>445</v>
      </c>
      <c r="K52" s="11" t="s">
        <v>446</v>
      </c>
      <c r="L52" s="11" t="s">
        <v>580</v>
      </c>
      <c r="M52" s="11" t="s">
        <v>581</v>
      </c>
      <c r="N52" s="11" t="s">
        <v>582</v>
      </c>
      <c r="O52" s="11" t="s">
        <v>583</v>
      </c>
      <c r="P52" s="11" t="s">
        <v>451</v>
      </c>
      <c r="Q52" s="11" t="s">
        <v>584</v>
      </c>
      <c r="R52" s="11" t="s">
        <v>585</v>
      </c>
      <c r="S52" s="11" t="s">
        <v>39</v>
      </c>
      <c r="T52" s="11"/>
      <c r="U52" s="28" t="s">
        <v>586</v>
      </c>
    </row>
    <row r="53" spans="1:21" ht="110.4" hidden="1" customHeight="1">
      <c r="A53" s="11" t="s">
        <v>587</v>
      </c>
      <c r="B53" s="11" t="s">
        <v>499</v>
      </c>
      <c r="C53" s="11">
        <v>9</v>
      </c>
      <c r="D53" s="11" t="s">
        <v>25</v>
      </c>
      <c r="E53" s="11" t="s">
        <v>588</v>
      </c>
      <c r="F53" s="11" t="s">
        <v>589</v>
      </c>
      <c r="G53" s="11" t="s">
        <v>590</v>
      </c>
      <c r="H53" s="11" t="s">
        <v>60</v>
      </c>
      <c r="I53" s="16">
        <v>1</v>
      </c>
      <c r="J53" s="11" t="s">
        <v>524</v>
      </c>
      <c r="K53" s="11" t="s">
        <v>37</v>
      </c>
      <c r="L53" s="11" t="s">
        <v>591</v>
      </c>
      <c r="M53" s="11" t="s">
        <v>592</v>
      </c>
      <c r="N53" s="11" t="s">
        <v>593</v>
      </c>
      <c r="O53" s="11" t="s">
        <v>594</v>
      </c>
      <c r="P53" s="11" t="s">
        <v>595</v>
      </c>
      <c r="Q53" s="11" t="s">
        <v>596</v>
      </c>
      <c r="R53" s="11" t="s">
        <v>597</v>
      </c>
      <c r="S53" s="11" t="s">
        <v>39</v>
      </c>
      <c r="T53" s="11"/>
      <c r="U53" s="28" t="s">
        <v>598</v>
      </c>
    </row>
    <row r="54" spans="1:21" ht="110.4" hidden="1" customHeight="1">
      <c r="A54" s="11" t="s">
        <v>599</v>
      </c>
      <c r="B54" s="11" t="s">
        <v>499</v>
      </c>
      <c r="C54" s="11">
        <v>10</v>
      </c>
      <c r="D54" s="11" t="s">
        <v>314</v>
      </c>
      <c r="E54" s="11" t="s">
        <v>600</v>
      </c>
      <c r="F54" s="11" t="s">
        <v>601</v>
      </c>
      <c r="G54" s="11" t="s">
        <v>602</v>
      </c>
      <c r="H54" s="11" t="s">
        <v>60</v>
      </c>
      <c r="I54" s="16">
        <v>0.75</v>
      </c>
      <c r="J54" s="11" t="s">
        <v>503</v>
      </c>
      <c r="K54" s="11" t="s">
        <v>558</v>
      </c>
      <c r="L54" s="11" t="s">
        <v>603</v>
      </c>
      <c r="M54" s="11" t="s">
        <v>604</v>
      </c>
      <c r="N54" s="11" t="s">
        <v>605</v>
      </c>
      <c r="O54" s="11" t="s">
        <v>606</v>
      </c>
      <c r="P54" s="11" t="s">
        <v>607</v>
      </c>
      <c r="Q54" s="11" t="s">
        <v>608</v>
      </c>
      <c r="R54" s="11" t="s">
        <v>609</v>
      </c>
      <c r="S54" s="11" t="s">
        <v>39</v>
      </c>
      <c r="T54" s="11"/>
      <c r="U54" s="28" t="s">
        <v>610</v>
      </c>
    </row>
    <row r="55" spans="1:21" ht="193.8" hidden="1" customHeight="1">
      <c r="A55" s="11" t="s">
        <v>611</v>
      </c>
      <c r="B55" s="11" t="s">
        <v>499</v>
      </c>
      <c r="C55" s="11">
        <v>11</v>
      </c>
      <c r="D55" s="11" t="s">
        <v>25</v>
      </c>
      <c r="E55" s="11" t="s">
        <v>612</v>
      </c>
      <c r="F55" s="11" t="s">
        <v>613</v>
      </c>
      <c r="G55" s="11" t="s">
        <v>614</v>
      </c>
      <c r="H55" s="11" t="s">
        <v>46</v>
      </c>
      <c r="I55" s="16">
        <v>1</v>
      </c>
      <c r="J55" s="11" t="s">
        <v>615</v>
      </c>
      <c r="K55" s="11" t="s">
        <v>37</v>
      </c>
      <c r="L55" s="11" t="s">
        <v>616</v>
      </c>
      <c r="M55" s="11" t="s">
        <v>617</v>
      </c>
      <c r="N55" s="11" t="s">
        <v>618</v>
      </c>
      <c r="O55" s="11" t="s">
        <v>619</v>
      </c>
      <c r="P55" s="11" t="s">
        <v>474</v>
      </c>
      <c r="Q55" s="11" t="s">
        <v>620</v>
      </c>
      <c r="R55" s="11" t="s">
        <v>621</v>
      </c>
      <c r="S55" s="11" t="s">
        <v>39</v>
      </c>
      <c r="T55" s="11"/>
      <c r="U55" s="28" t="s">
        <v>622</v>
      </c>
    </row>
    <row r="56" spans="1:21" ht="193.8" hidden="1" customHeight="1">
      <c r="A56" s="11" t="s">
        <v>623</v>
      </c>
      <c r="B56" s="11" t="s">
        <v>499</v>
      </c>
      <c r="C56" s="11">
        <v>12</v>
      </c>
      <c r="D56" s="11" t="s">
        <v>25</v>
      </c>
      <c r="E56" s="11" t="s">
        <v>168</v>
      </c>
      <c r="F56" s="11" t="s">
        <v>624</v>
      </c>
      <c r="G56" s="11" t="s">
        <v>625</v>
      </c>
      <c r="H56" s="11" t="s">
        <v>29</v>
      </c>
      <c r="I56" s="16">
        <v>0.75</v>
      </c>
      <c r="J56" s="11" t="s">
        <v>626</v>
      </c>
      <c r="K56" s="11" t="s">
        <v>627</v>
      </c>
      <c r="L56" s="11" t="s">
        <v>628</v>
      </c>
      <c r="M56" s="11" t="s">
        <v>629</v>
      </c>
      <c r="N56" s="11" t="s">
        <v>630</v>
      </c>
      <c r="O56" s="11" t="s">
        <v>631</v>
      </c>
      <c r="P56" s="11" t="s">
        <v>52</v>
      </c>
      <c r="Q56" s="11" t="s">
        <v>632</v>
      </c>
      <c r="R56" s="11" t="s">
        <v>633</v>
      </c>
      <c r="S56" s="11" t="s">
        <v>39</v>
      </c>
      <c r="T56" s="11"/>
      <c r="U56" s="28" t="s">
        <v>634</v>
      </c>
    </row>
    <row r="57" spans="1:21" ht="69" hidden="1" customHeight="1">
      <c r="A57" s="11" t="s">
        <v>635</v>
      </c>
      <c r="B57" s="11" t="s">
        <v>499</v>
      </c>
      <c r="C57" s="11">
        <v>13</v>
      </c>
      <c r="D57" s="11" t="s">
        <v>25</v>
      </c>
      <c r="E57" s="11" t="s">
        <v>182</v>
      </c>
      <c r="F57" s="11" t="s">
        <v>636</v>
      </c>
      <c r="G57" s="11" t="s">
        <v>637</v>
      </c>
      <c r="H57" s="11" t="s">
        <v>46</v>
      </c>
      <c r="I57" s="16">
        <v>1</v>
      </c>
      <c r="J57" s="11" t="s">
        <v>185</v>
      </c>
      <c r="K57" s="11" t="s">
        <v>37</v>
      </c>
      <c r="L57" s="11" t="s">
        <v>638</v>
      </c>
      <c r="M57" s="11" t="s">
        <v>639</v>
      </c>
      <c r="N57" s="11" t="s">
        <v>188</v>
      </c>
      <c r="O57" s="11" t="s">
        <v>640</v>
      </c>
      <c r="P57" s="11" t="s">
        <v>641</v>
      </c>
      <c r="Q57" s="11" t="s">
        <v>623</v>
      </c>
      <c r="R57" s="11" t="s">
        <v>191</v>
      </c>
      <c r="S57" s="11" t="s">
        <v>39</v>
      </c>
      <c r="T57" s="11" t="s">
        <v>642</v>
      </c>
      <c r="U57" s="28" t="s">
        <v>643</v>
      </c>
    </row>
    <row r="58" spans="1:21" ht="96.6" customHeight="1">
      <c r="A58" s="11" t="s">
        <v>644</v>
      </c>
      <c r="B58" s="11" t="s">
        <v>645</v>
      </c>
      <c r="C58" s="11">
        <v>1</v>
      </c>
      <c r="D58" s="11" t="s">
        <v>25</v>
      </c>
      <c r="E58" s="11" t="s">
        <v>646</v>
      </c>
      <c r="F58" s="11" t="s">
        <v>647</v>
      </c>
      <c r="G58" s="11" t="s">
        <v>648</v>
      </c>
      <c r="H58" s="11" t="s">
        <v>29</v>
      </c>
      <c r="I58" s="16">
        <v>1</v>
      </c>
      <c r="J58" s="11" t="s">
        <v>649</v>
      </c>
      <c r="K58" s="11" t="s">
        <v>650</v>
      </c>
      <c r="L58" s="11" t="s">
        <v>651</v>
      </c>
      <c r="M58" s="11" t="s">
        <v>652</v>
      </c>
      <c r="N58" s="11" t="s">
        <v>653</v>
      </c>
      <c r="O58" s="11" t="s">
        <v>654</v>
      </c>
      <c r="P58" s="11" t="s">
        <v>115</v>
      </c>
      <c r="Q58" s="11" t="s">
        <v>635</v>
      </c>
      <c r="R58" s="11" t="s">
        <v>655</v>
      </c>
      <c r="S58" s="11" t="s">
        <v>39</v>
      </c>
      <c r="T58" s="11"/>
      <c r="U58" s="28" t="s">
        <v>657</v>
      </c>
    </row>
    <row r="59" spans="1:21" ht="409.6" customHeight="1">
      <c r="A59" s="11" t="s">
        <v>658</v>
      </c>
      <c r="B59" s="11" t="s">
        <v>645</v>
      </c>
      <c r="C59" s="11">
        <v>2</v>
      </c>
      <c r="D59" s="11" t="s">
        <v>25</v>
      </c>
      <c r="E59" s="11" t="s">
        <v>659</v>
      </c>
      <c r="F59" s="11" t="s">
        <v>660</v>
      </c>
      <c r="G59" s="11" t="s">
        <v>661</v>
      </c>
      <c r="H59" s="11" t="s">
        <v>60</v>
      </c>
      <c r="I59" s="16">
        <v>1.25</v>
      </c>
      <c r="J59" s="11" t="s">
        <v>662</v>
      </c>
      <c r="K59" s="11" t="s">
        <v>663</v>
      </c>
      <c r="L59" s="11" t="s">
        <v>664</v>
      </c>
      <c r="M59" s="11" t="s">
        <v>665</v>
      </c>
      <c r="N59" s="11" t="s">
        <v>666</v>
      </c>
      <c r="O59" s="11" t="s">
        <v>667</v>
      </c>
      <c r="P59" s="11" t="s">
        <v>139</v>
      </c>
      <c r="Q59" s="11" t="s">
        <v>644</v>
      </c>
      <c r="R59" s="11" t="s">
        <v>668</v>
      </c>
      <c r="S59" s="11" t="s">
        <v>39</v>
      </c>
      <c r="T59" s="11" t="s">
        <v>669</v>
      </c>
      <c r="U59" s="28" t="s">
        <v>670</v>
      </c>
    </row>
    <row r="60" spans="1:21" ht="193.8" customHeight="1">
      <c r="A60" s="11" t="s">
        <v>671</v>
      </c>
      <c r="B60" s="11" t="s">
        <v>645</v>
      </c>
      <c r="C60" s="11">
        <v>3</v>
      </c>
      <c r="D60" s="11" t="s">
        <v>25</v>
      </c>
      <c r="E60" s="11" t="s">
        <v>672</v>
      </c>
      <c r="F60" s="11" t="s">
        <v>673</v>
      </c>
      <c r="G60" s="11" t="s">
        <v>674</v>
      </c>
      <c r="H60" s="11" t="s">
        <v>60</v>
      </c>
      <c r="I60" s="16">
        <v>1.25</v>
      </c>
      <c r="J60" s="11" t="s">
        <v>662</v>
      </c>
      <c r="K60" s="11" t="s">
        <v>675</v>
      </c>
      <c r="L60" s="11" t="s">
        <v>676</v>
      </c>
      <c r="M60" s="11" t="s">
        <v>677</v>
      </c>
      <c r="N60" s="11" t="s">
        <v>678</v>
      </c>
      <c r="O60" s="11" t="s">
        <v>679</v>
      </c>
      <c r="P60" s="11" t="s">
        <v>680</v>
      </c>
      <c r="Q60" s="11" t="s">
        <v>681</v>
      </c>
      <c r="R60" s="11" t="s">
        <v>682</v>
      </c>
      <c r="S60" s="11" t="s">
        <v>39</v>
      </c>
      <c r="T60" s="11"/>
      <c r="U60" s="28" t="s">
        <v>683</v>
      </c>
    </row>
    <row r="61" spans="1:21" ht="193.8" customHeight="1">
      <c r="A61" s="11" t="s">
        <v>684</v>
      </c>
      <c r="B61" s="11" t="s">
        <v>645</v>
      </c>
      <c r="C61" s="11">
        <v>4</v>
      </c>
      <c r="D61" s="11" t="s">
        <v>25</v>
      </c>
      <c r="E61" s="11" t="s">
        <v>685</v>
      </c>
      <c r="F61" s="11" t="s">
        <v>686</v>
      </c>
      <c r="G61" s="11" t="s">
        <v>687</v>
      </c>
      <c r="H61" s="11" t="s">
        <v>60</v>
      </c>
      <c r="I61" s="16">
        <v>1.25</v>
      </c>
      <c r="J61" s="11" t="s">
        <v>662</v>
      </c>
      <c r="K61" s="11" t="s">
        <v>688</v>
      </c>
      <c r="L61" s="11" t="s">
        <v>689</v>
      </c>
      <c r="M61" s="11" t="s">
        <v>690</v>
      </c>
      <c r="N61" s="11" t="s">
        <v>691</v>
      </c>
      <c r="O61" s="11" t="s">
        <v>692</v>
      </c>
      <c r="P61" s="11" t="s">
        <v>693</v>
      </c>
      <c r="Q61" s="11" t="s">
        <v>644</v>
      </c>
      <c r="R61" s="11" t="s">
        <v>694</v>
      </c>
      <c r="S61" s="11" t="s">
        <v>39</v>
      </c>
      <c r="T61" s="11"/>
      <c r="U61" s="28" t="s">
        <v>695</v>
      </c>
    </row>
    <row r="62" spans="1:21" ht="110.4" customHeight="1">
      <c r="A62" s="11" t="s">
        <v>696</v>
      </c>
      <c r="B62" s="11" t="s">
        <v>645</v>
      </c>
      <c r="C62" s="11">
        <v>5</v>
      </c>
      <c r="D62" s="11" t="s">
        <v>25</v>
      </c>
      <c r="E62" s="11" t="s">
        <v>697</v>
      </c>
      <c r="F62" s="11" t="s">
        <v>698</v>
      </c>
      <c r="G62" s="11" t="s">
        <v>699</v>
      </c>
      <c r="H62" s="11" t="s">
        <v>60</v>
      </c>
      <c r="I62" s="16">
        <v>1.5</v>
      </c>
      <c r="J62" s="11" t="s">
        <v>662</v>
      </c>
      <c r="K62" s="11" t="s">
        <v>700</v>
      </c>
      <c r="L62" s="11" t="s">
        <v>701</v>
      </c>
      <c r="M62" s="11" t="s">
        <v>702</v>
      </c>
      <c r="N62" s="11" t="s">
        <v>703</v>
      </c>
      <c r="O62" s="11" t="s">
        <v>704</v>
      </c>
      <c r="P62" s="11" t="s">
        <v>705</v>
      </c>
      <c r="Q62" s="11" t="s">
        <v>706</v>
      </c>
      <c r="R62" s="11" t="s">
        <v>707</v>
      </c>
      <c r="S62" s="11" t="s">
        <v>39</v>
      </c>
      <c r="T62" s="11"/>
      <c r="U62" s="28" t="s">
        <v>708</v>
      </c>
    </row>
    <row r="63" spans="1:21" ht="193.8" customHeight="1">
      <c r="A63" s="11" t="s">
        <v>709</v>
      </c>
      <c r="B63" s="11" t="s">
        <v>645</v>
      </c>
      <c r="C63" s="11">
        <v>6</v>
      </c>
      <c r="D63" s="11" t="s">
        <v>25</v>
      </c>
      <c r="E63" s="11" t="s">
        <v>710</v>
      </c>
      <c r="F63" s="11" t="s">
        <v>711</v>
      </c>
      <c r="G63" s="11" t="s">
        <v>712</v>
      </c>
      <c r="H63" s="11" t="s">
        <v>60</v>
      </c>
      <c r="I63" s="16">
        <v>1</v>
      </c>
      <c r="J63" s="11" t="s">
        <v>713</v>
      </c>
      <c r="K63" s="11" t="s">
        <v>714</v>
      </c>
      <c r="L63" s="11" t="s">
        <v>715</v>
      </c>
      <c r="M63" s="11" t="s">
        <v>716</v>
      </c>
      <c r="N63" s="11" t="s">
        <v>717</v>
      </c>
      <c r="O63" s="11" t="s">
        <v>718</v>
      </c>
      <c r="P63" s="11" t="s">
        <v>719</v>
      </c>
      <c r="Q63" s="11" t="s">
        <v>720</v>
      </c>
      <c r="R63" s="11" t="s">
        <v>721</v>
      </c>
      <c r="S63" s="11" t="s">
        <v>39</v>
      </c>
      <c r="T63" s="11"/>
      <c r="U63" s="28" t="s">
        <v>722</v>
      </c>
    </row>
    <row r="64" spans="1:21" ht="110.4" customHeight="1">
      <c r="A64" s="11" t="s">
        <v>723</v>
      </c>
      <c r="B64" s="11" t="s">
        <v>645</v>
      </c>
      <c r="C64" s="11">
        <v>7</v>
      </c>
      <c r="D64" s="11" t="s">
        <v>25</v>
      </c>
      <c r="E64" s="11" t="s">
        <v>724</v>
      </c>
      <c r="F64" s="11" t="s">
        <v>725</v>
      </c>
      <c r="G64" s="11" t="s">
        <v>726</v>
      </c>
      <c r="H64" s="11" t="s">
        <v>60</v>
      </c>
      <c r="I64" s="16">
        <v>1.5</v>
      </c>
      <c r="J64" s="11" t="s">
        <v>727</v>
      </c>
      <c r="K64" s="11" t="s">
        <v>728</v>
      </c>
      <c r="L64" s="11" t="s">
        <v>729</v>
      </c>
      <c r="M64" s="11" t="s">
        <v>730</v>
      </c>
      <c r="N64" s="11" t="s">
        <v>731</v>
      </c>
      <c r="O64" s="11" t="s">
        <v>732</v>
      </c>
      <c r="P64" s="11" t="s">
        <v>115</v>
      </c>
      <c r="Q64" s="11" t="s">
        <v>733</v>
      </c>
      <c r="R64" s="11" t="s">
        <v>734</v>
      </c>
      <c r="S64" s="11" t="s">
        <v>39</v>
      </c>
      <c r="T64" s="11"/>
      <c r="U64" s="28" t="s">
        <v>735</v>
      </c>
    </row>
    <row r="65" spans="1:21" ht="193.8" customHeight="1">
      <c r="A65" s="11" t="s">
        <v>736</v>
      </c>
      <c r="B65" s="11" t="s">
        <v>645</v>
      </c>
      <c r="C65" s="11">
        <v>8</v>
      </c>
      <c r="D65" s="11" t="s">
        <v>25</v>
      </c>
      <c r="E65" s="11" t="s">
        <v>737</v>
      </c>
      <c r="F65" s="11" t="s">
        <v>738</v>
      </c>
      <c r="G65" s="11" t="s">
        <v>739</v>
      </c>
      <c r="H65" s="11" t="s">
        <v>60</v>
      </c>
      <c r="I65" s="16">
        <v>1</v>
      </c>
      <c r="J65" s="11" t="s">
        <v>727</v>
      </c>
      <c r="K65" s="11" t="s">
        <v>37</v>
      </c>
      <c r="L65" s="11" t="s">
        <v>740</v>
      </c>
      <c r="M65" s="11" t="s">
        <v>741</v>
      </c>
      <c r="N65" s="11" t="s">
        <v>742</v>
      </c>
      <c r="O65" s="11" t="s">
        <v>743</v>
      </c>
      <c r="P65" s="11" t="s">
        <v>103</v>
      </c>
      <c r="Q65" s="11" t="s">
        <v>723</v>
      </c>
      <c r="R65" s="11" t="s">
        <v>744</v>
      </c>
      <c r="S65" s="11" t="s">
        <v>39</v>
      </c>
      <c r="T65" s="11"/>
      <c r="U65" s="28" t="s">
        <v>745</v>
      </c>
    </row>
    <row r="66" spans="1:21" ht="110.4" customHeight="1">
      <c r="A66" s="11" t="s">
        <v>746</v>
      </c>
      <c r="B66" s="11" t="s">
        <v>645</v>
      </c>
      <c r="C66" s="11">
        <v>9</v>
      </c>
      <c r="D66" s="11" t="s">
        <v>25</v>
      </c>
      <c r="E66" s="11" t="s">
        <v>747</v>
      </c>
      <c r="F66" s="11" t="s">
        <v>748</v>
      </c>
      <c r="G66" s="11" t="s">
        <v>749</v>
      </c>
      <c r="H66" s="11" t="s">
        <v>46</v>
      </c>
      <c r="I66" s="16">
        <v>1</v>
      </c>
      <c r="J66" s="11" t="s">
        <v>750</v>
      </c>
      <c r="K66" s="11" t="s">
        <v>558</v>
      </c>
      <c r="L66" s="11" t="s">
        <v>751</v>
      </c>
      <c r="M66" s="11" t="s">
        <v>752</v>
      </c>
      <c r="N66" s="11" t="s">
        <v>753</v>
      </c>
      <c r="O66" s="11" t="s">
        <v>754</v>
      </c>
      <c r="P66" s="11" t="s">
        <v>115</v>
      </c>
      <c r="Q66" s="11" t="s">
        <v>755</v>
      </c>
      <c r="R66" s="11" t="s">
        <v>756</v>
      </c>
      <c r="S66" s="11" t="s">
        <v>39</v>
      </c>
      <c r="T66" s="11"/>
      <c r="U66" s="28" t="s">
        <v>757</v>
      </c>
    </row>
    <row r="67" spans="1:21" ht="124.2" customHeight="1">
      <c r="A67" s="11" t="s">
        <v>758</v>
      </c>
      <c r="B67" s="11" t="s">
        <v>645</v>
      </c>
      <c r="C67" s="11">
        <v>10</v>
      </c>
      <c r="D67" s="11" t="s">
        <v>25</v>
      </c>
      <c r="E67" s="11" t="s">
        <v>759</v>
      </c>
      <c r="F67" s="11" t="s">
        <v>760</v>
      </c>
      <c r="G67" s="11" t="s">
        <v>761</v>
      </c>
      <c r="H67" s="11" t="s">
        <v>29</v>
      </c>
      <c r="I67" s="16">
        <v>1.5</v>
      </c>
      <c r="J67" s="11" t="s">
        <v>750</v>
      </c>
      <c r="K67" s="11" t="s">
        <v>305</v>
      </c>
      <c r="L67" s="11" t="s">
        <v>762</v>
      </c>
      <c r="M67" s="11" t="s">
        <v>763</v>
      </c>
      <c r="N67" s="11" t="s">
        <v>764</v>
      </c>
      <c r="O67" s="11" t="s">
        <v>765</v>
      </c>
      <c r="P67" s="11" t="s">
        <v>474</v>
      </c>
      <c r="Q67" s="11" t="s">
        <v>746</v>
      </c>
      <c r="R67" s="11" t="s">
        <v>766</v>
      </c>
      <c r="S67" s="11" t="s">
        <v>39</v>
      </c>
      <c r="T67" s="11"/>
      <c r="U67" s="28" t="s">
        <v>767</v>
      </c>
    </row>
    <row r="68" spans="1:21" ht="110.4" customHeight="1">
      <c r="A68" s="11" t="s">
        <v>768</v>
      </c>
      <c r="B68" s="11" t="s">
        <v>645</v>
      </c>
      <c r="C68" s="11">
        <v>11</v>
      </c>
      <c r="D68" s="11" t="s">
        <v>25</v>
      </c>
      <c r="E68" s="11" t="s">
        <v>769</v>
      </c>
      <c r="F68" s="11" t="s">
        <v>770</v>
      </c>
      <c r="G68" s="11" t="s">
        <v>771</v>
      </c>
      <c r="H68" s="11" t="s">
        <v>46</v>
      </c>
      <c r="I68" s="16">
        <v>0.75</v>
      </c>
      <c r="J68" s="11" t="s">
        <v>750</v>
      </c>
      <c r="K68" s="11" t="s">
        <v>305</v>
      </c>
      <c r="L68" s="11" t="s">
        <v>772</v>
      </c>
      <c r="M68" s="11" t="s">
        <v>773</v>
      </c>
      <c r="N68" s="11" t="s">
        <v>774</v>
      </c>
      <c r="O68" s="11" t="s">
        <v>775</v>
      </c>
      <c r="P68" s="11" t="s">
        <v>776</v>
      </c>
      <c r="Q68" s="11" t="s">
        <v>758</v>
      </c>
      <c r="R68" s="11" t="s">
        <v>777</v>
      </c>
      <c r="S68" s="11" t="s">
        <v>39</v>
      </c>
      <c r="T68" s="11"/>
      <c r="U68" s="28" t="s">
        <v>778</v>
      </c>
    </row>
    <row r="69" spans="1:21" ht="193.8" customHeight="1">
      <c r="A69" s="11" t="s">
        <v>779</v>
      </c>
      <c r="B69" s="11" t="s">
        <v>645</v>
      </c>
      <c r="C69" s="11">
        <v>12</v>
      </c>
      <c r="D69" s="11" t="s">
        <v>25</v>
      </c>
      <c r="E69" s="11" t="s">
        <v>780</v>
      </c>
      <c r="F69" s="11" t="s">
        <v>781</v>
      </c>
      <c r="G69" s="11" t="s">
        <v>782</v>
      </c>
      <c r="H69" s="11" t="s">
        <v>46</v>
      </c>
      <c r="I69" s="16">
        <v>1</v>
      </c>
      <c r="J69" s="11" t="s">
        <v>750</v>
      </c>
      <c r="K69" s="11" t="s">
        <v>159</v>
      </c>
      <c r="L69" s="11" t="s">
        <v>783</v>
      </c>
      <c r="M69" s="11" t="s">
        <v>784</v>
      </c>
      <c r="N69" s="11" t="s">
        <v>785</v>
      </c>
      <c r="O69" s="11" t="s">
        <v>786</v>
      </c>
      <c r="P69" s="11" t="s">
        <v>164</v>
      </c>
      <c r="Q69" s="11" t="s">
        <v>768</v>
      </c>
      <c r="R69" s="11" t="s">
        <v>787</v>
      </c>
      <c r="S69" s="11" t="s">
        <v>39</v>
      </c>
      <c r="T69" s="11"/>
      <c r="U69" s="28" t="s">
        <v>788</v>
      </c>
    </row>
    <row r="70" spans="1:21" ht="96.6" customHeight="1">
      <c r="A70" s="11" t="s">
        <v>789</v>
      </c>
      <c r="B70" s="11" t="s">
        <v>645</v>
      </c>
      <c r="C70" s="11">
        <v>13</v>
      </c>
      <c r="D70" s="11" t="s">
        <v>25</v>
      </c>
      <c r="E70" s="11" t="s">
        <v>168</v>
      </c>
      <c r="F70" s="11" t="s">
        <v>790</v>
      </c>
      <c r="G70" s="11" t="s">
        <v>791</v>
      </c>
      <c r="H70" s="11" t="s">
        <v>29</v>
      </c>
      <c r="I70" s="16">
        <v>0.75</v>
      </c>
      <c r="J70" s="11" t="s">
        <v>792</v>
      </c>
      <c r="K70" s="11" t="s">
        <v>793</v>
      </c>
      <c r="L70" s="11" t="s">
        <v>794</v>
      </c>
      <c r="M70" s="11" t="s">
        <v>795</v>
      </c>
      <c r="N70" s="11" t="s">
        <v>796</v>
      </c>
      <c r="O70" s="11" t="s">
        <v>797</v>
      </c>
      <c r="P70" s="11" t="s">
        <v>52</v>
      </c>
      <c r="Q70" s="11" t="s">
        <v>798</v>
      </c>
      <c r="R70" s="11" t="s">
        <v>799</v>
      </c>
      <c r="S70" s="11" t="s">
        <v>39</v>
      </c>
      <c r="T70" s="11"/>
      <c r="U70" s="28" t="s">
        <v>801</v>
      </c>
    </row>
    <row r="71" spans="1:21" ht="69" customHeight="1">
      <c r="A71" s="11" t="s">
        <v>802</v>
      </c>
      <c r="B71" s="11" t="s">
        <v>645</v>
      </c>
      <c r="C71" s="11">
        <v>14</v>
      </c>
      <c r="D71" s="11" t="s">
        <v>25</v>
      </c>
      <c r="E71" s="11" t="s">
        <v>182</v>
      </c>
      <c r="F71" s="11" t="s">
        <v>803</v>
      </c>
      <c r="G71" s="11" t="s">
        <v>804</v>
      </c>
      <c r="H71" s="11" t="s">
        <v>46</v>
      </c>
      <c r="I71" s="16">
        <v>1</v>
      </c>
      <c r="J71" s="11" t="s">
        <v>185</v>
      </c>
      <c r="K71" s="11" t="s">
        <v>37</v>
      </c>
      <c r="L71" s="11" t="s">
        <v>805</v>
      </c>
      <c r="M71" s="11" t="s">
        <v>806</v>
      </c>
      <c r="N71" s="11" t="s">
        <v>188</v>
      </c>
      <c r="O71" s="11" t="s">
        <v>807</v>
      </c>
      <c r="P71" s="11" t="s">
        <v>808</v>
      </c>
      <c r="Q71" s="11" t="s">
        <v>789</v>
      </c>
      <c r="R71" s="11" t="s">
        <v>191</v>
      </c>
      <c r="S71" s="11" t="s">
        <v>39</v>
      </c>
      <c r="T71" s="11" t="s">
        <v>809</v>
      </c>
      <c r="U71" s="28" t="s">
        <v>810</v>
      </c>
    </row>
    <row r="72" spans="1:21" ht="110.4" hidden="1" customHeight="1">
      <c r="A72" s="11" t="s">
        <v>811</v>
      </c>
      <c r="B72" s="11" t="s">
        <v>812</v>
      </c>
      <c r="C72" s="11">
        <v>1</v>
      </c>
      <c r="D72" s="11" t="s">
        <v>25</v>
      </c>
      <c r="E72" s="11" t="s">
        <v>813</v>
      </c>
      <c r="F72" s="11" t="s">
        <v>814</v>
      </c>
      <c r="G72" s="11" t="s">
        <v>815</v>
      </c>
      <c r="H72" s="11" t="s">
        <v>46</v>
      </c>
      <c r="I72" s="16">
        <v>0.75</v>
      </c>
      <c r="J72" s="11" t="s">
        <v>727</v>
      </c>
      <c r="K72" s="11" t="s">
        <v>816</v>
      </c>
      <c r="L72" s="11" t="s">
        <v>817</v>
      </c>
      <c r="M72" s="11" t="s">
        <v>818</v>
      </c>
      <c r="N72" s="11" t="s">
        <v>819</v>
      </c>
      <c r="O72" s="11" t="s">
        <v>820</v>
      </c>
      <c r="P72" s="11" t="s">
        <v>821</v>
      </c>
      <c r="Q72" s="11" t="s">
        <v>802</v>
      </c>
      <c r="R72" s="11" t="s">
        <v>822</v>
      </c>
      <c r="S72" s="11" t="s">
        <v>800</v>
      </c>
      <c r="T72" s="11"/>
      <c r="U72" s="28" t="s">
        <v>823</v>
      </c>
    </row>
    <row r="73" spans="1:21" ht="110.4" hidden="1" customHeight="1">
      <c r="A73" s="11" t="s">
        <v>824</v>
      </c>
      <c r="B73" s="11" t="s">
        <v>812</v>
      </c>
      <c r="C73" s="11">
        <v>2</v>
      </c>
      <c r="D73" s="11" t="s">
        <v>25</v>
      </c>
      <c r="E73" s="11" t="s">
        <v>825</v>
      </c>
      <c r="F73" s="11" t="s">
        <v>826</v>
      </c>
      <c r="G73" s="11" t="s">
        <v>827</v>
      </c>
      <c r="H73" s="11" t="s">
        <v>60</v>
      </c>
      <c r="I73" s="16">
        <v>1.5</v>
      </c>
      <c r="J73" s="11" t="s">
        <v>828</v>
      </c>
      <c r="K73" s="11" t="s">
        <v>816</v>
      </c>
      <c r="L73" s="11" t="s">
        <v>829</v>
      </c>
      <c r="M73" s="11" t="s">
        <v>830</v>
      </c>
      <c r="N73" s="11" t="s">
        <v>831</v>
      </c>
      <c r="O73" s="11" t="s">
        <v>832</v>
      </c>
      <c r="P73" s="11" t="s">
        <v>833</v>
      </c>
      <c r="Q73" s="11" t="s">
        <v>811</v>
      </c>
      <c r="R73" s="11" t="s">
        <v>834</v>
      </c>
      <c r="S73" s="11" t="s">
        <v>800</v>
      </c>
      <c r="T73" s="11"/>
      <c r="U73" s="28" t="s">
        <v>835</v>
      </c>
    </row>
    <row r="74" spans="1:21" ht="110.4" hidden="1" customHeight="1">
      <c r="A74" s="11" t="s">
        <v>836</v>
      </c>
      <c r="B74" s="11" t="s">
        <v>812</v>
      </c>
      <c r="C74" s="11">
        <v>3</v>
      </c>
      <c r="D74" s="11" t="s">
        <v>25</v>
      </c>
      <c r="E74" s="11" t="s">
        <v>837</v>
      </c>
      <c r="F74" s="11" t="s">
        <v>838</v>
      </c>
      <c r="G74" s="11" t="s">
        <v>839</v>
      </c>
      <c r="H74" s="11" t="s">
        <v>60</v>
      </c>
      <c r="I74" s="16">
        <v>1</v>
      </c>
      <c r="J74" s="11" t="s">
        <v>828</v>
      </c>
      <c r="K74" s="11" t="s">
        <v>840</v>
      </c>
      <c r="L74" s="11" t="s">
        <v>841</v>
      </c>
      <c r="M74" s="11" t="s">
        <v>842</v>
      </c>
      <c r="N74" s="11" t="s">
        <v>843</v>
      </c>
      <c r="O74" s="11" t="s">
        <v>844</v>
      </c>
      <c r="P74" s="11" t="s">
        <v>274</v>
      </c>
      <c r="Q74" s="11" t="s">
        <v>845</v>
      </c>
      <c r="R74" s="11" t="s">
        <v>846</v>
      </c>
      <c r="S74" s="11" t="s">
        <v>800</v>
      </c>
      <c r="T74" s="11"/>
      <c r="U74" s="28" t="s">
        <v>847</v>
      </c>
    </row>
    <row r="75" spans="1:21" ht="110.4" hidden="1" customHeight="1">
      <c r="A75" s="11" t="s">
        <v>848</v>
      </c>
      <c r="B75" s="11" t="s">
        <v>812</v>
      </c>
      <c r="C75" s="11">
        <v>4</v>
      </c>
      <c r="D75" s="11" t="s">
        <v>25</v>
      </c>
      <c r="E75" s="11" t="s">
        <v>849</v>
      </c>
      <c r="F75" s="11" t="s">
        <v>850</v>
      </c>
      <c r="G75" s="11" t="s">
        <v>851</v>
      </c>
      <c r="H75" s="11" t="s">
        <v>60</v>
      </c>
      <c r="I75" s="16">
        <v>1</v>
      </c>
      <c r="J75" s="11" t="s">
        <v>828</v>
      </c>
      <c r="K75" s="11" t="s">
        <v>852</v>
      </c>
      <c r="L75" s="11" t="s">
        <v>853</v>
      </c>
      <c r="M75" s="11" t="s">
        <v>854</v>
      </c>
      <c r="N75" s="11" t="s">
        <v>855</v>
      </c>
      <c r="O75" s="11" t="s">
        <v>856</v>
      </c>
      <c r="P75" s="11" t="s">
        <v>857</v>
      </c>
      <c r="Q75" s="11" t="s">
        <v>836</v>
      </c>
      <c r="R75" s="11" t="s">
        <v>858</v>
      </c>
      <c r="S75" s="11" t="s">
        <v>800</v>
      </c>
      <c r="T75" s="11"/>
      <c r="U75" s="28" t="s">
        <v>859</v>
      </c>
    </row>
    <row r="76" spans="1:21" ht="110.4" hidden="1" customHeight="1">
      <c r="A76" s="11" t="s">
        <v>860</v>
      </c>
      <c r="B76" s="11" t="s">
        <v>812</v>
      </c>
      <c r="C76" s="11">
        <v>5</v>
      </c>
      <c r="D76" s="11" t="s">
        <v>25</v>
      </c>
      <c r="E76" s="11" t="s">
        <v>861</v>
      </c>
      <c r="F76" s="11" t="s">
        <v>862</v>
      </c>
      <c r="G76" s="11" t="s">
        <v>863</v>
      </c>
      <c r="H76" s="11" t="s">
        <v>60</v>
      </c>
      <c r="I76" s="16">
        <v>1</v>
      </c>
      <c r="J76" s="11" t="s">
        <v>828</v>
      </c>
      <c r="K76" s="11" t="s">
        <v>458</v>
      </c>
      <c r="L76" s="11" t="s">
        <v>864</v>
      </c>
      <c r="M76" s="11" t="s">
        <v>830</v>
      </c>
      <c r="N76" s="11" t="s">
        <v>865</v>
      </c>
      <c r="O76" s="11" t="s">
        <v>866</v>
      </c>
      <c r="P76" s="11" t="s">
        <v>833</v>
      </c>
      <c r="Q76" s="11" t="s">
        <v>824</v>
      </c>
      <c r="R76" s="11" t="s">
        <v>867</v>
      </c>
      <c r="S76" s="11" t="s">
        <v>800</v>
      </c>
      <c r="T76" s="11"/>
      <c r="U76" s="28" t="s">
        <v>868</v>
      </c>
    </row>
    <row r="77" spans="1:21" ht="110.4" hidden="1" customHeight="1">
      <c r="A77" s="11" t="s">
        <v>869</v>
      </c>
      <c r="B77" s="11" t="s">
        <v>812</v>
      </c>
      <c r="C77" s="11">
        <v>6</v>
      </c>
      <c r="D77" s="11" t="s">
        <v>25</v>
      </c>
      <c r="E77" s="11" t="s">
        <v>870</v>
      </c>
      <c r="F77" s="11" t="s">
        <v>871</v>
      </c>
      <c r="G77" s="11" t="s">
        <v>872</v>
      </c>
      <c r="H77" s="11" t="s">
        <v>60</v>
      </c>
      <c r="I77" s="16">
        <v>1.25</v>
      </c>
      <c r="J77" s="11" t="s">
        <v>873</v>
      </c>
      <c r="K77" s="11" t="s">
        <v>446</v>
      </c>
      <c r="L77" s="11" t="s">
        <v>874</v>
      </c>
      <c r="M77" s="11" t="s">
        <v>581</v>
      </c>
      <c r="N77" s="11" t="s">
        <v>875</v>
      </c>
      <c r="O77" s="11" t="s">
        <v>876</v>
      </c>
      <c r="P77" s="11" t="s">
        <v>451</v>
      </c>
      <c r="Q77" s="11" t="s">
        <v>877</v>
      </c>
      <c r="R77" s="11" t="s">
        <v>878</v>
      </c>
      <c r="S77" s="11" t="s">
        <v>800</v>
      </c>
      <c r="T77" s="11"/>
      <c r="U77" s="28" t="s">
        <v>879</v>
      </c>
    </row>
    <row r="78" spans="1:21" ht="110.4" hidden="1" customHeight="1">
      <c r="A78" s="11" t="s">
        <v>880</v>
      </c>
      <c r="B78" s="11" t="s">
        <v>812</v>
      </c>
      <c r="C78" s="11">
        <v>7</v>
      </c>
      <c r="D78" s="11" t="s">
        <v>25</v>
      </c>
      <c r="E78" s="11" t="s">
        <v>881</v>
      </c>
      <c r="F78" s="11" t="s">
        <v>882</v>
      </c>
      <c r="G78" s="11" t="s">
        <v>883</v>
      </c>
      <c r="H78" s="11" t="s">
        <v>46</v>
      </c>
      <c r="I78" s="16">
        <v>1</v>
      </c>
      <c r="J78" s="11" t="s">
        <v>873</v>
      </c>
      <c r="K78" s="11" t="s">
        <v>884</v>
      </c>
      <c r="L78" s="11" t="s">
        <v>885</v>
      </c>
      <c r="M78" s="11" t="s">
        <v>886</v>
      </c>
      <c r="N78" s="11" t="s">
        <v>887</v>
      </c>
      <c r="O78" s="11" t="s">
        <v>888</v>
      </c>
      <c r="P78" s="11" t="s">
        <v>103</v>
      </c>
      <c r="Q78" s="11" t="s">
        <v>869</v>
      </c>
      <c r="R78" s="11" t="s">
        <v>889</v>
      </c>
      <c r="S78" s="11" t="s">
        <v>800</v>
      </c>
      <c r="T78" s="11"/>
      <c r="U78" s="28" t="s">
        <v>890</v>
      </c>
    </row>
    <row r="79" spans="1:21" ht="96.6" hidden="1" customHeight="1">
      <c r="A79" s="11" t="s">
        <v>891</v>
      </c>
      <c r="B79" s="11" t="s">
        <v>812</v>
      </c>
      <c r="C79" s="11">
        <v>8</v>
      </c>
      <c r="D79" s="11" t="s">
        <v>25</v>
      </c>
      <c r="E79" s="11" t="s">
        <v>892</v>
      </c>
      <c r="F79" s="11" t="s">
        <v>893</v>
      </c>
      <c r="G79" s="11" t="s">
        <v>894</v>
      </c>
      <c r="H79" s="11" t="s">
        <v>895</v>
      </c>
      <c r="I79" s="16">
        <v>1</v>
      </c>
      <c r="J79" s="11" t="s">
        <v>873</v>
      </c>
      <c r="K79" s="11" t="s">
        <v>446</v>
      </c>
      <c r="L79" s="11" t="s">
        <v>896</v>
      </c>
      <c r="M79" s="11" t="s">
        <v>897</v>
      </c>
      <c r="N79" s="11" t="s">
        <v>898</v>
      </c>
      <c r="O79" s="11" t="s">
        <v>899</v>
      </c>
      <c r="P79" s="11" t="s">
        <v>900</v>
      </c>
      <c r="Q79" s="11" t="s">
        <v>901</v>
      </c>
      <c r="R79" s="11" t="s">
        <v>902</v>
      </c>
      <c r="S79" s="11" t="s">
        <v>800</v>
      </c>
      <c r="T79" s="11"/>
      <c r="U79" s="28" t="s">
        <v>903</v>
      </c>
    </row>
    <row r="80" spans="1:21" ht="110.4" hidden="1" customHeight="1">
      <c r="A80" t="s">
        <v>904</v>
      </c>
      <c r="B80" t="s">
        <v>812</v>
      </c>
      <c r="C80">
        <v>9</v>
      </c>
      <c r="D80" t="s">
        <v>25</v>
      </c>
      <c r="E80" t="s">
        <v>905</v>
      </c>
      <c r="F80" t="s">
        <v>906</v>
      </c>
      <c r="G80" t="s">
        <v>907</v>
      </c>
      <c r="H80" t="s">
        <v>46</v>
      </c>
      <c r="I80">
        <v>1</v>
      </c>
      <c r="J80" t="s">
        <v>873</v>
      </c>
      <c r="K80" t="s">
        <v>908</v>
      </c>
      <c r="L80" t="s">
        <v>909</v>
      </c>
      <c r="M80" t="s">
        <v>910</v>
      </c>
      <c r="N80" t="s">
        <v>911</v>
      </c>
      <c r="O80" t="s">
        <v>912</v>
      </c>
      <c r="P80" t="s">
        <v>103</v>
      </c>
      <c r="Q80" t="s">
        <v>913</v>
      </c>
      <c r="R80" t="s">
        <v>914</v>
      </c>
      <c r="S80" t="s">
        <v>800</v>
      </c>
      <c r="U80" s="28" t="s">
        <v>915</v>
      </c>
    </row>
    <row r="81" spans="1:21" ht="110.4" hidden="1" customHeight="1">
      <c r="A81" t="s">
        <v>916</v>
      </c>
      <c r="B81" t="s">
        <v>812</v>
      </c>
      <c r="C81">
        <v>10</v>
      </c>
      <c r="D81" t="s">
        <v>25</v>
      </c>
      <c r="E81" t="s">
        <v>917</v>
      </c>
      <c r="F81" t="s">
        <v>918</v>
      </c>
      <c r="G81" t="s">
        <v>919</v>
      </c>
      <c r="H81" t="s">
        <v>46</v>
      </c>
      <c r="I81">
        <v>1.25</v>
      </c>
      <c r="J81" t="s">
        <v>920</v>
      </c>
      <c r="K81" t="s">
        <v>423</v>
      </c>
      <c r="L81" t="s">
        <v>921</v>
      </c>
      <c r="M81" t="s">
        <v>922</v>
      </c>
      <c r="N81" t="s">
        <v>923</v>
      </c>
      <c r="O81" t="s">
        <v>924</v>
      </c>
      <c r="P81" t="s">
        <v>103</v>
      </c>
      <c r="Q81" t="s">
        <v>925</v>
      </c>
      <c r="R81" t="s">
        <v>926</v>
      </c>
      <c r="S81" t="s">
        <v>800</v>
      </c>
      <c r="U81" s="28" t="s">
        <v>927</v>
      </c>
    </row>
    <row r="82" spans="1:21" ht="110.4" hidden="1" customHeight="1">
      <c r="A82" t="s">
        <v>928</v>
      </c>
      <c r="B82" t="s">
        <v>812</v>
      </c>
      <c r="C82">
        <v>11</v>
      </c>
      <c r="D82" t="s">
        <v>25</v>
      </c>
      <c r="E82" t="s">
        <v>929</v>
      </c>
      <c r="F82" t="s">
        <v>930</v>
      </c>
      <c r="G82" t="s">
        <v>931</v>
      </c>
      <c r="H82" t="s">
        <v>29</v>
      </c>
      <c r="I82">
        <v>0.75</v>
      </c>
      <c r="J82" t="s">
        <v>920</v>
      </c>
      <c r="K82" t="s">
        <v>305</v>
      </c>
      <c r="L82" t="s">
        <v>932</v>
      </c>
      <c r="M82" t="s">
        <v>933</v>
      </c>
      <c r="N82" t="s">
        <v>934</v>
      </c>
      <c r="O82" t="s">
        <v>935</v>
      </c>
      <c r="P82" t="s">
        <v>474</v>
      </c>
      <c r="Q82" t="s">
        <v>916</v>
      </c>
      <c r="R82" t="s">
        <v>936</v>
      </c>
      <c r="S82" t="s">
        <v>800</v>
      </c>
      <c r="U82" s="28" t="s">
        <v>937</v>
      </c>
    </row>
    <row r="83" spans="1:21" ht="110.4" hidden="1" customHeight="1">
      <c r="A83" t="s">
        <v>938</v>
      </c>
      <c r="B83" t="s">
        <v>812</v>
      </c>
      <c r="C83">
        <v>12</v>
      </c>
      <c r="D83" t="s">
        <v>25</v>
      </c>
      <c r="E83" t="s">
        <v>939</v>
      </c>
      <c r="F83" t="s">
        <v>940</v>
      </c>
      <c r="G83" t="s">
        <v>941</v>
      </c>
      <c r="H83" t="s">
        <v>29</v>
      </c>
      <c r="I83">
        <v>1.25</v>
      </c>
      <c r="J83" t="s">
        <v>750</v>
      </c>
      <c r="K83" t="s">
        <v>147</v>
      </c>
      <c r="L83" t="s">
        <v>942</v>
      </c>
      <c r="M83" t="s">
        <v>943</v>
      </c>
      <c r="N83" t="s">
        <v>944</v>
      </c>
      <c r="O83" t="s">
        <v>945</v>
      </c>
      <c r="P83" t="s">
        <v>946</v>
      </c>
      <c r="Q83" t="s">
        <v>928</v>
      </c>
      <c r="R83" t="s">
        <v>947</v>
      </c>
      <c r="S83" t="s">
        <v>800</v>
      </c>
      <c r="U83" s="28" t="s">
        <v>948</v>
      </c>
    </row>
    <row r="84" spans="1:21" ht="110.4" hidden="1" customHeight="1">
      <c r="A84" t="s">
        <v>949</v>
      </c>
      <c r="B84" t="s">
        <v>812</v>
      </c>
      <c r="C84">
        <v>13</v>
      </c>
      <c r="D84" t="s">
        <v>25</v>
      </c>
      <c r="E84" t="s">
        <v>950</v>
      </c>
      <c r="F84" t="s">
        <v>951</v>
      </c>
      <c r="G84" t="s">
        <v>952</v>
      </c>
      <c r="H84" t="s">
        <v>29</v>
      </c>
      <c r="I84">
        <v>1</v>
      </c>
      <c r="J84" t="s">
        <v>920</v>
      </c>
      <c r="K84" t="s">
        <v>37</v>
      </c>
      <c r="L84" t="s">
        <v>953</v>
      </c>
      <c r="M84" t="s">
        <v>954</v>
      </c>
      <c r="N84" t="s">
        <v>955</v>
      </c>
      <c r="O84" t="s">
        <v>956</v>
      </c>
      <c r="P84" t="s">
        <v>52</v>
      </c>
      <c r="Q84" t="s">
        <v>957</v>
      </c>
      <c r="R84" t="s">
        <v>958</v>
      </c>
      <c r="S84" t="s">
        <v>800</v>
      </c>
      <c r="U84" s="28" t="s">
        <v>959</v>
      </c>
    </row>
    <row r="85" spans="1:21" ht="69" hidden="1" customHeight="1">
      <c r="A85" t="s">
        <v>960</v>
      </c>
      <c r="B85" t="s">
        <v>812</v>
      </c>
      <c r="C85">
        <v>14</v>
      </c>
      <c r="D85" t="s">
        <v>25</v>
      </c>
      <c r="E85" t="s">
        <v>182</v>
      </c>
      <c r="F85" t="s">
        <v>961</v>
      </c>
      <c r="G85" t="s">
        <v>962</v>
      </c>
      <c r="H85" t="s">
        <v>46</v>
      </c>
      <c r="I85">
        <v>1.5</v>
      </c>
      <c r="J85" t="s">
        <v>185</v>
      </c>
      <c r="K85" t="s">
        <v>37</v>
      </c>
      <c r="L85" t="s">
        <v>963</v>
      </c>
      <c r="M85" t="s">
        <v>964</v>
      </c>
      <c r="N85" t="s">
        <v>965</v>
      </c>
      <c r="O85" t="s">
        <v>966</v>
      </c>
      <c r="P85" t="s">
        <v>967</v>
      </c>
      <c r="Q85" t="s">
        <v>949</v>
      </c>
      <c r="R85" t="s">
        <v>191</v>
      </c>
      <c r="S85" t="s">
        <v>800</v>
      </c>
      <c r="T85" t="s">
        <v>968</v>
      </c>
      <c r="U85" s="28" t="s">
        <v>969</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6" t="s">
        <v>1027</v>
      </c>
      <c r="B1" s="67"/>
      <c r="C1" s="67"/>
      <c r="D1" s="67"/>
      <c r="E1" s="67"/>
      <c r="F1" s="67"/>
      <c r="G1" s="67"/>
      <c r="H1" s="67"/>
      <c r="I1" s="67"/>
      <c r="J1" s="67"/>
      <c r="K1" s="67"/>
      <c r="L1" s="67"/>
      <c r="M1" s="67"/>
      <c r="N1" s="67"/>
      <c r="O1" s="67"/>
    </row>
    <row r="2" spans="1:16" ht="31.95" customHeight="1">
      <c r="A2" s="75" t="s">
        <v>1028</v>
      </c>
      <c r="B2" s="67"/>
      <c r="C2" s="67"/>
      <c r="D2" s="67"/>
      <c r="E2" s="67"/>
      <c r="F2" s="67"/>
      <c r="G2" s="67"/>
      <c r="H2" s="67"/>
      <c r="I2" s="67"/>
      <c r="J2" s="67"/>
      <c r="K2" s="67"/>
      <c r="L2" s="67"/>
      <c r="M2" s="67"/>
      <c r="N2" s="67"/>
      <c r="O2" s="67"/>
    </row>
    <row r="4" spans="1:16" ht="28.05" customHeight="1">
      <c r="A4" s="71" t="s">
        <v>1020</v>
      </c>
      <c r="B4" s="73"/>
      <c r="D4" s="71" t="s">
        <v>1014</v>
      </c>
      <c r="E4" s="73"/>
      <c r="G4" s="71" t="s">
        <v>1029</v>
      </c>
      <c r="H4" s="72"/>
      <c r="I4" s="72"/>
      <c r="J4" s="72"/>
      <c r="K4" s="72"/>
      <c r="L4" s="72"/>
      <c r="M4" s="72"/>
      <c r="N4" s="72"/>
      <c r="O4" s="73"/>
    </row>
    <row r="5" spans="1:16">
      <c r="A5" s="84">
        <f>IF(COUNTA(O10:O40)=0,0,COUNTIF(O10:O40,"Done")/COUNTA(A10:A40))</f>
        <v>0.56521739130434778</v>
      </c>
      <c r="B5" s="62"/>
      <c r="D5" s="85">
        <f>COUNTIF(O10:O40,"Blocked")</f>
        <v>0</v>
      </c>
      <c r="E5" s="62"/>
      <c r="G5" s="82" t="s">
        <v>1030</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9" t="s">
        <v>22</v>
      </c>
    </row>
    <row r="10" spans="1:16" ht="96.6" customHeight="1">
      <c r="A10" s="10" t="s">
        <v>23</v>
      </c>
      <c r="B10" s="10">
        <v>1</v>
      </c>
      <c r="C10" s="10" t="s">
        <v>25</v>
      </c>
      <c r="D10" s="10" t="s">
        <v>26</v>
      </c>
      <c r="E10" s="10" t="s">
        <v>27</v>
      </c>
      <c r="F10" s="10" t="s">
        <v>28</v>
      </c>
      <c r="G10" s="10" t="s">
        <v>29</v>
      </c>
      <c r="H10" s="15">
        <v>1</v>
      </c>
      <c r="I10" s="10" t="s">
        <v>30</v>
      </c>
      <c r="J10" s="10" t="s">
        <v>31</v>
      </c>
      <c r="K10" s="10" t="s">
        <v>32</v>
      </c>
      <c r="L10" s="10" t="s">
        <v>33</v>
      </c>
      <c r="M10" s="10" t="s">
        <v>35</v>
      </c>
      <c r="N10" s="10" t="s">
        <v>38</v>
      </c>
      <c r="O10" s="10" t="s">
        <v>39</v>
      </c>
      <c r="P10" s="29" t="s">
        <v>41</v>
      </c>
    </row>
    <row r="11" spans="1:16" ht="96.6" customHeight="1">
      <c r="A11" s="11" t="s">
        <v>42</v>
      </c>
      <c r="B11" s="11">
        <v>2</v>
      </c>
      <c r="C11" s="11" t="s">
        <v>25</v>
      </c>
      <c r="D11" s="11" t="s">
        <v>43</v>
      </c>
      <c r="E11" s="11" t="s">
        <v>44</v>
      </c>
      <c r="F11" s="11" t="s">
        <v>45</v>
      </c>
      <c r="G11" s="11" t="s">
        <v>46</v>
      </c>
      <c r="H11" s="16">
        <v>0.5</v>
      </c>
      <c r="I11" s="11" t="s">
        <v>47</v>
      </c>
      <c r="J11" s="11" t="s">
        <v>37</v>
      </c>
      <c r="K11" s="11" t="s">
        <v>48</v>
      </c>
      <c r="L11" s="11" t="s">
        <v>49</v>
      </c>
      <c r="M11" s="11" t="s">
        <v>51</v>
      </c>
      <c r="N11" s="11" t="s">
        <v>53</v>
      </c>
      <c r="O11" s="11" t="s">
        <v>39</v>
      </c>
      <c r="P11" s="29" t="s">
        <v>55</v>
      </c>
    </row>
    <row r="12" spans="1:16" ht="110.4" customHeight="1">
      <c r="A12" s="11" t="s">
        <v>56</v>
      </c>
      <c r="B12" s="11">
        <v>3</v>
      </c>
      <c r="C12" s="11" t="s">
        <v>25</v>
      </c>
      <c r="D12" s="11" t="s">
        <v>57</v>
      </c>
      <c r="E12" s="11" t="s">
        <v>58</v>
      </c>
      <c r="F12" s="11" t="s">
        <v>59</v>
      </c>
      <c r="G12" s="11" t="s">
        <v>60</v>
      </c>
      <c r="H12" s="16">
        <v>1.5</v>
      </c>
      <c r="I12" s="11" t="s">
        <v>61</v>
      </c>
      <c r="J12" s="11" t="s">
        <v>62</v>
      </c>
      <c r="K12" s="11" t="s">
        <v>63</v>
      </c>
      <c r="L12" s="11" t="s">
        <v>64</v>
      </c>
      <c r="M12" s="11" t="s">
        <v>66</v>
      </c>
      <c r="N12" s="11" t="s">
        <v>67</v>
      </c>
      <c r="O12" s="11" t="s">
        <v>39</v>
      </c>
      <c r="P12" s="29" t="s">
        <v>69</v>
      </c>
    </row>
    <row r="13" spans="1:16" ht="110.4" customHeight="1">
      <c r="A13" s="11" t="s">
        <v>70</v>
      </c>
      <c r="B13" s="11">
        <v>4</v>
      </c>
      <c r="C13" s="11" t="s">
        <v>25</v>
      </c>
      <c r="D13" s="11" t="s">
        <v>71</v>
      </c>
      <c r="E13" s="11" t="s">
        <v>72</v>
      </c>
      <c r="F13" s="11" t="s">
        <v>73</v>
      </c>
      <c r="G13" s="11" t="s">
        <v>60</v>
      </c>
      <c r="H13" s="16">
        <v>1</v>
      </c>
      <c r="I13" s="11" t="s">
        <v>61</v>
      </c>
      <c r="J13" s="11" t="s">
        <v>74</v>
      </c>
      <c r="K13" s="11" t="s">
        <v>75</v>
      </c>
      <c r="L13" s="11" t="s">
        <v>76</v>
      </c>
      <c r="M13" s="11" t="s">
        <v>78</v>
      </c>
      <c r="N13" s="11" t="s">
        <v>79</v>
      </c>
      <c r="O13" s="11" t="s">
        <v>39</v>
      </c>
      <c r="P13" s="29" t="s">
        <v>80</v>
      </c>
    </row>
    <row r="14" spans="1:16" ht="193.8" customHeight="1">
      <c r="A14" s="11" t="s">
        <v>81</v>
      </c>
      <c r="B14" s="11">
        <v>5</v>
      </c>
      <c r="C14" s="11" t="s">
        <v>25</v>
      </c>
      <c r="D14" s="11" t="s">
        <v>82</v>
      </c>
      <c r="E14" s="11" t="s">
        <v>83</v>
      </c>
      <c r="F14" s="11" t="s">
        <v>84</v>
      </c>
      <c r="G14" s="11" t="s">
        <v>60</v>
      </c>
      <c r="H14" s="16">
        <v>1.5</v>
      </c>
      <c r="I14" s="11" t="s">
        <v>85</v>
      </c>
      <c r="J14" s="11" t="s">
        <v>86</v>
      </c>
      <c r="K14" s="11" t="s">
        <v>87</v>
      </c>
      <c r="L14" s="11" t="s">
        <v>88</v>
      </c>
      <c r="M14" s="11" t="s">
        <v>90</v>
      </c>
      <c r="N14" s="11" t="s">
        <v>92</v>
      </c>
      <c r="O14" s="11" t="s">
        <v>39</v>
      </c>
      <c r="P14" s="29" t="s">
        <v>93</v>
      </c>
    </row>
    <row r="15" spans="1:16" ht="110.4" customHeight="1">
      <c r="A15" s="11" t="s">
        <v>94</v>
      </c>
      <c r="B15" s="11">
        <v>6</v>
      </c>
      <c r="C15" s="11" t="s">
        <v>25</v>
      </c>
      <c r="D15" s="11" t="s">
        <v>95</v>
      </c>
      <c r="E15" s="11" t="s">
        <v>96</v>
      </c>
      <c r="F15" s="11" t="s">
        <v>97</v>
      </c>
      <c r="G15" s="11" t="s">
        <v>60</v>
      </c>
      <c r="H15" s="16">
        <v>1.25</v>
      </c>
      <c r="I15" s="11" t="s">
        <v>98</v>
      </c>
      <c r="J15" s="11" t="s">
        <v>37</v>
      </c>
      <c r="K15" s="11" t="s">
        <v>99</v>
      </c>
      <c r="L15" s="11" t="s">
        <v>100</v>
      </c>
      <c r="M15" s="11" t="s">
        <v>102</v>
      </c>
      <c r="N15" s="11" t="s">
        <v>105</v>
      </c>
      <c r="O15" s="11" t="s">
        <v>39</v>
      </c>
      <c r="P15" s="29" t="s">
        <v>106</v>
      </c>
    </row>
    <row r="16" spans="1:16" ht="193.8" customHeight="1">
      <c r="A16" s="11" t="s">
        <v>107</v>
      </c>
      <c r="B16" s="11">
        <v>7</v>
      </c>
      <c r="C16" s="11" t="s">
        <v>25</v>
      </c>
      <c r="D16" s="11" t="s">
        <v>108</v>
      </c>
      <c r="E16" s="11" t="s">
        <v>109</v>
      </c>
      <c r="F16" s="11" t="s">
        <v>110</v>
      </c>
      <c r="G16" s="11" t="s">
        <v>60</v>
      </c>
      <c r="H16" s="16">
        <v>1</v>
      </c>
      <c r="I16" s="11" t="s">
        <v>61</v>
      </c>
      <c r="J16" s="11" t="s">
        <v>37</v>
      </c>
      <c r="K16" s="11" t="s">
        <v>111</v>
      </c>
      <c r="L16" s="11" t="s">
        <v>112</v>
      </c>
      <c r="M16" s="11" t="s">
        <v>114</v>
      </c>
      <c r="N16" s="11" t="s">
        <v>116</v>
      </c>
      <c r="O16" s="11" t="s">
        <v>39</v>
      </c>
      <c r="P16" s="29" t="s">
        <v>117</v>
      </c>
    </row>
    <row r="17" spans="1:16" ht="110.4" customHeight="1">
      <c r="A17" s="11" t="s">
        <v>118</v>
      </c>
      <c r="B17" s="11">
        <v>8</v>
      </c>
      <c r="C17" s="11" t="s">
        <v>25</v>
      </c>
      <c r="D17" s="11" t="s">
        <v>119</v>
      </c>
      <c r="E17" s="11" t="s">
        <v>120</v>
      </c>
      <c r="F17" s="11" t="s">
        <v>121</v>
      </c>
      <c r="G17" s="11" t="s">
        <v>60</v>
      </c>
      <c r="H17" s="16">
        <v>1</v>
      </c>
      <c r="I17" s="11" t="s">
        <v>98</v>
      </c>
      <c r="J17" s="11" t="s">
        <v>122</v>
      </c>
      <c r="K17" s="11" t="s">
        <v>123</v>
      </c>
      <c r="L17" s="11" t="s">
        <v>124</v>
      </c>
      <c r="M17" s="11" t="s">
        <v>126</v>
      </c>
      <c r="N17" s="11" t="s">
        <v>127</v>
      </c>
      <c r="O17" s="11" t="s">
        <v>39</v>
      </c>
      <c r="P17" s="29" t="s">
        <v>128</v>
      </c>
    </row>
    <row r="18" spans="1:16" ht="205.2" customHeight="1">
      <c r="A18" s="11" t="s">
        <v>129</v>
      </c>
      <c r="B18" s="11">
        <v>9</v>
      </c>
      <c r="C18" s="11" t="s">
        <v>25</v>
      </c>
      <c r="D18" s="11" t="s">
        <v>130</v>
      </c>
      <c r="E18" s="11" t="s">
        <v>131</v>
      </c>
      <c r="F18" s="11" t="s">
        <v>132</v>
      </c>
      <c r="G18" s="11" t="s">
        <v>60</v>
      </c>
      <c r="H18" s="16">
        <v>1.25</v>
      </c>
      <c r="I18" s="11" t="s">
        <v>133</v>
      </c>
      <c r="J18" s="11" t="s">
        <v>134</v>
      </c>
      <c r="K18" s="11" t="s">
        <v>135</v>
      </c>
      <c r="L18" s="11" t="s">
        <v>136</v>
      </c>
      <c r="M18" s="11" t="s">
        <v>138</v>
      </c>
      <c r="N18" s="11" t="s">
        <v>140</v>
      </c>
      <c r="O18" s="11" t="s">
        <v>39</v>
      </c>
      <c r="P18" s="29" t="s">
        <v>142</v>
      </c>
    </row>
    <row r="19" spans="1:16" ht="193.8" customHeight="1">
      <c r="A19" s="11" t="s">
        <v>143</v>
      </c>
      <c r="B19" s="11">
        <v>10</v>
      </c>
      <c r="C19" s="11" t="s">
        <v>25</v>
      </c>
      <c r="D19" s="11" t="s">
        <v>144</v>
      </c>
      <c r="E19" s="11" t="s">
        <v>145</v>
      </c>
      <c r="F19" s="11" t="s">
        <v>146</v>
      </c>
      <c r="G19" s="11" t="s">
        <v>60</v>
      </c>
      <c r="H19" s="16">
        <v>1.5</v>
      </c>
      <c r="I19" s="11" t="s">
        <v>133</v>
      </c>
      <c r="J19" s="11" t="s">
        <v>147</v>
      </c>
      <c r="K19" s="11" t="s">
        <v>148</v>
      </c>
      <c r="L19" s="11" t="s">
        <v>149</v>
      </c>
      <c r="M19" s="11" t="s">
        <v>151</v>
      </c>
      <c r="N19" s="11" t="s">
        <v>153</v>
      </c>
      <c r="O19" s="11" t="s">
        <v>39</v>
      </c>
      <c r="P19" s="29" t="s">
        <v>154</v>
      </c>
    </row>
    <row r="20" spans="1:16" ht="110.4" customHeight="1">
      <c r="A20" s="11" t="s">
        <v>155</v>
      </c>
      <c r="B20" s="11">
        <v>11</v>
      </c>
      <c r="C20" s="11" t="s">
        <v>25</v>
      </c>
      <c r="D20" s="11" t="s">
        <v>156</v>
      </c>
      <c r="E20" s="11" t="s">
        <v>157</v>
      </c>
      <c r="F20" s="11" t="s">
        <v>158</v>
      </c>
      <c r="G20" s="11" t="s">
        <v>60</v>
      </c>
      <c r="H20" s="16">
        <v>1</v>
      </c>
      <c r="I20" s="11" t="s">
        <v>133</v>
      </c>
      <c r="J20" s="11" t="s">
        <v>159</v>
      </c>
      <c r="K20" s="11" t="s">
        <v>160</v>
      </c>
      <c r="L20" s="11" t="s">
        <v>161</v>
      </c>
      <c r="M20" s="11" t="s">
        <v>163</v>
      </c>
      <c r="N20" s="11" t="s">
        <v>165</v>
      </c>
      <c r="O20" s="11" t="s">
        <v>39</v>
      </c>
      <c r="P20" s="29" t="s">
        <v>166</v>
      </c>
    </row>
    <row r="21" spans="1:16" ht="193.8" customHeight="1">
      <c r="A21" s="11" t="s">
        <v>167</v>
      </c>
      <c r="B21" s="11">
        <v>12</v>
      </c>
      <c r="C21" s="11" t="s">
        <v>25</v>
      </c>
      <c r="D21" s="11" t="s">
        <v>168</v>
      </c>
      <c r="E21" s="11" t="s">
        <v>169</v>
      </c>
      <c r="F21" s="11" t="s">
        <v>170</v>
      </c>
      <c r="G21" s="11" t="s">
        <v>29</v>
      </c>
      <c r="H21" s="16">
        <v>1</v>
      </c>
      <c r="I21" s="11" t="s">
        <v>171</v>
      </c>
      <c r="J21" s="11" t="s">
        <v>172</v>
      </c>
      <c r="K21" s="11" t="s">
        <v>173</v>
      </c>
      <c r="L21" s="11" t="s">
        <v>174</v>
      </c>
      <c r="M21" s="11" t="s">
        <v>176</v>
      </c>
      <c r="N21" s="11" t="s">
        <v>178</v>
      </c>
      <c r="O21" s="11" t="s">
        <v>39</v>
      </c>
      <c r="P21" s="29" t="s">
        <v>180</v>
      </c>
    </row>
    <row r="22" spans="1:16" ht="82.8" customHeight="1">
      <c r="A22" t="s">
        <v>181</v>
      </c>
      <c r="B22">
        <v>13</v>
      </c>
      <c r="C22" t="s">
        <v>25</v>
      </c>
      <c r="D22" t="s">
        <v>182</v>
      </c>
      <c r="E22" t="s">
        <v>183</v>
      </c>
      <c r="F22" t="s">
        <v>184</v>
      </c>
      <c r="G22" t="s">
        <v>46</v>
      </c>
      <c r="H22">
        <v>1</v>
      </c>
      <c r="I22" t="s">
        <v>185</v>
      </c>
      <c r="J22" t="s">
        <v>37</v>
      </c>
      <c r="K22" t="s">
        <v>186</v>
      </c>
      <c r="L22" t="s">
        <v>187</v>
      </c>
      <c r="M22" t="s">
        <v>189</v>
      </c>
      <c r="N22" t="s">
        <v>191</v>
      </c>
      <c r="O22" s="11" t="s">
        <v>39</v>
      </c>
      <c r="P22" s="29" t="s">
        <v>193</v>
      </c>
    </row>
    <row r="23" spans="1:16" ht="24" customHeight="1">
      <c r="A23" s="83"/>
      <c r="B23" s="67"/>
      <c r="C23" s="67"/>
      <c r="D23" s="67"/>
      <c r="E23" s="67"/>
      <c r="F23" s="67"/>
      <c r="G23" s="67"/>
      <c r="H23" s="67"/>
      <c r="I23" s="67"/>
      <c r="J23" s="67"/>
      <c r="K23" s="67"/>
      <c r="L23" s="67"/>
      <c r="M23" s="67"/>
      <c r="N23" s="67"/>
      <c r="O23" s="67"/>
    </row>
    <row r="24" spans="1:16" ht="34.049999999999997" customHeight="1">
      <c r="A24" s="30" t="s">
        <v>1040</v>
      </c>
      <c r="B24" s="30"/>
      <c r="C24" s="30"/>
      <c r="D24" s="30"/>
      <c r="E24" s="30"/>
      <c r="F24" s="30"/>
      <c r="G24" s="30"/>
      <c r="H24" s="31"/>
      <c r="I24" s="31"/>
      <c r="J24" s="31"/>
      <c r="K24" s="31"/>
      <c r="L24" s="31"/>
      <c r="M24" s="31"/>
      <c r="N24" s="31"/>
      <c r="O24" s="31"/>
      <c r="P24" s="31"/>
    </row>
    <row r="25" spans="1:16" ht="48" customHeight="1">
      <c r="A25" s="33" t="s">
        <v>1041</v>
      </c>
      <c r="B25" s="33" t="s">
        <v>11</v>
      </c>
      <c r="C25" s="33" t="s">
        <v>1042</v>
      </c>
      <c r="D25" s="33" t="s">
        <v>1043</v>
      </c>
      <c r="E25" s="33" t="s">
        <v>1044</v>
      </c>
      <c r="F25" s="33" t="s">
        <v>1045</v>
      </c>
      <c r="G25" s="33" t="s">
        <v>1046</v>
      </c>
    </row>
    <row r="26" spans="1:16" ht="52.05" customHeight="1">
      <c r="A26" s="22">
        <v>1</v>
      </c>
      <c r="B26" s="22" t="s">
        <v>30</v>
      </c>
      <c r="C26" s="22" t="s">
        <v>1047</v>
      </c>
      <c r="D26" s="22" t="s">
        <v>1048</v>
      </c>
      <c r="E26" s="22" t="s">
        <v>1049</v>
      </c>
      <c r="F26" s="22" t="s">
        <v>1050</v>
      </c>
      <c r="G26" s="22" t="s">
        <v>1051</v>
      </c>
    </row>
    <row r="27" spans="1:16" ht="52.05" customHeight="1">
      <c r="A27" s="34">
        <v>2</v>
      </c>
      <c r="B27" s="34" t="s">
        <v>47</v>
      </c>
      <c r="C27" s="34" t="s">
        <v>1052</v>
      </c>
      <c r="D27" s="34" t="s">
        <v>1053</v>
      </c>
      <c r="E27" s="34" t="s">
        <v>1054</v>
      </c>
      <c r="F27" s="34" t="s">
        <v>1055</v>
      </c>
      <c r="G27" s="34" t="s">
        <v>1051</v>
      </c>
    </row>
    <row r="28" spans="1:16" ht="52.05" customHeight="1">
      <c r="A28" s="22">
        <v>3</v>
      </c>
      <c r="B28" s="22" t="s">
        <v>61</v>
      </c>
      <c r="C28" s="22" t="s">
        <v>1056</v>
      </c>
      <c r="D28" s="22" t="s">
        <v>1057</v>
      </c>
      <c r="E28" s="22" t="s">
        <v>1058</v>
      </c>
      <c r="F28" s="22" t="s">
        <v>1059</v>
      </c>
      <c r="G28" s="22" t="s">
        <v>1060</v>
      </c>
    </row>
    <row r="29" spans="1:16" ht="52.05" customHeight="1">
      <c r="A29" s="34">
        <v>4</v>
      </c>
      <c r="B29" s="34" t="s">
        <v>85</v>
      </c>
      <c r="C29" s="34" t="s">
        <v>1061</v>
      </c>
      <c r="D29" s="34" t="s">
        <v>1062</v>
      </c>
      <c r="E29" s="34" t="s">
        <v>1063</v>
      </c>
      <c r="F29" s="34" t="s">
        <v>1064</v>
      </c>
      <c r="G29" s="34" t="s">
        <v>1060</v>
      </c>
    </row>
    <row r="30" spans="1:16" ht="52.05" customHeight="1">
      <c r="A30" s="22">
        <v>5</v>
      </c>
      <c r="B30" s="22" t="s">
        <v>98</v>
      </c>
      <c r="C30" s="22" t="s">
        <v>1065</v>
      </c>
      <c r="D30" s="22" t="s">
        <v>1066</v>
      </c>
      <c r="E30" s="22" t="s">
        <v>1067</v>
      </c>
      <c r="F30" s="22" t="s">
        <v>1068</v>
      </c>
      <c r="G30" s="22" t="s">
        <v>1060</v>
      </c>
    </row>
    <row r="31" spans="1:16" ht="52.05" customHeight="1">
      <c r="A31" s="34">
        <v>6</v>
      </c>
      <c r="B31" s="34" t="s">
        <v>133</v>
      </c>
      <c r="C31" s="34" t="s">
        <v>1069</v>
      </c>
      <c r="D31" s="34" t="s">
        <v>1070</v>
      </c>
      <c r="E31" s="34" t="s">
        <v>1071</v>
      </c>
      <c r="F31" s="34" t="s">
        <v>1072</v>
      </c>
      <c r="G31" s="34" t="s">
        <v>1060</v>
      </c>
    </row>
    <row r="32" spans="1:16" ht="52.05" customHeight="1">
      <c r="A32" s="35">
        <v>7</v>
      </c>
      <c r="B32" s="35" t="s">
        <v>171</v>
      </c>
      <c r="C32" s="35" t="s">
        <v>1073</v>
      </c>
      <c r="D32" s="35" t="s">
        <v>1074</v>
      </c>
      <c r="E32" s="35" t="s">
        <v>1075</v>
      </c>
      <c r="F32" s="35" t="s">
        <v>176</v>
      </c>
      <c r="G32" s="35" t="s">
        <v>1051</v>
      </c>
    </row>
    <row r="33" spans="1:7" ht="52.05" customHeight="1">
      <c r="A33" s="35">
        <v>8</v>
      </c>
      <c r="B33" s="35" t="s">
        <v>185</v>
      </c>
      <c r="C33" s="35" t="s">
        <v>1076</v>
      </c>
      <c r="D33" s="35" t="s">
        <v>1077</v>
      </c>
      <c r="E33" s="35" t="s">
        <v>1078</v>
      </c>
      <c r="F33" s="35" t="s">
        <v>1079</v>
      </c>
      <c r="G33" s="35" t="s">
        <v>1080</v>
      </c>
    </row>
  </sheetData>
  <mergeCells count="9">
    <mergeCell ref="A4:B4"/>
    <mergeCell ref="A2:O2"/>
    <mergeCell ref="G5:O6"/>
    <mergeCell ref="A1:O1"/>
    <mergeCell ref="A23:O23"/>
    <mergeCell ref="A5:B6"/>
    <mergeCell ref="D4:E4"/>
    <mergeCell ref="D5:E6"/>
    <mergeCell ref="G4:O4"/>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6" t="s">
        <v>1081</v>
      </c>
      <c r="B1" s="67"/>
      <c r="C1" s="67"/>
      <c r="D1" s="67"/>
      <c r="E1" s="67"/>
      <c r="F1" s="67"/>
      <c r="G1" s="67"/>
      <c r="H1" s="67"/>
      <c r="I1" s="67"/>
      <c r="J1" s="67"/>
      <c r="K1" s="67"/>
      <c r="L1" s="67"/>
      <c r="M1" s="67"/>
      <c r="N1" s="67"/>
      <c r="O1" s="67"/>
    </row>
    <row r="2" spans="1:16" ht="31.95" customHeight="1">
      <c r="A2" s="75" t="s">
        <v>1082</v>
      </c>
      <c r="B2" s="67"/>
      <c r="C2" s="67"/>
      <c r="D2" s="67"/>
      <c r="E2" s="67"/>
      <c r="F2" s="67"/>
      <c r="G2" s="67"/>
      <c r="H2" s="67"/>
      <c r="I2" s="67"/>
      <c r="J2" s="67"/>
      <c r="K2" s="67"/>
      <c r="L2" s="67"/>
      <c r="M2" s="67"/>
      <c r="N2" s="67"/>
      <c r="O2" s="67"/>
    </row>
    <row r="4" spans="1:16" ht="28.05" customHeight="1">
      <c r="A4" s="71" t="s">
        <v>1020</v>
      </c>
      <c r="B4" s="73"/>
      <c r="D4" s="71" t="s">
        <v>1014</v>
      </c>
      <c r="E4" s="73"/>
      <c r="G4" s="71" t="s">
        <v>1029</v>
      </c>
      <c r="H4" s="72"/>
      <c r="I4" s="72"/>
      <c r="J4" s="72"/>
      <c r="K4" s="72"/>
      <c r="L4" s="72"/>
      <c r="M4" s="72"/>
      <c r="N4" s="72"/>
      <c r="O4" s="73"/>
    </row>
    <row r="5" spans="1:16">
      <c r="A5" s="84">
        <f>IF(COUNTA(O10:O40)=0,0,COUNTIF(O10:O40,"Done")/COUNTA(A10:A40))</f>
        <v>0.59090909090909094</v>
      </c>
      <c r="B5" s="62"/>
      <c r="D5" s="85">
        <f>COUNTIF(O10:O40,"Blocked")</f>
        <v>0</v>
      </c>
      <c r="E5" s="62"/>
      <c r="G5" s="82" t="s">
        <v>1083</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9" t="s">
        <v>22</v>
      </c>
    </row>
    <row r="10" spans="1:16" ht="110.4" customHeight="1">
      <c r="A10" s="10" t="s">
        <v>194</v>
      </c>
      <c r="B10" s="10">
        <v>1</v>
      </c>
      <c r="C10" s="10" t="s">
        <v>25</v>
      </c>
      <c r="D10" s="10" t="s">
        <v>196</v>
      </c>
      <c r="E10" s="10" t="s">
        <v>197</v>
      </c>
      <c r="F10" s="10" t="s">
        <v>198</v>
      </c>
      <c r="G10" s="10" t="s">
        <v>60</v>
      </c>
      <c r="H10" s="15">
        <v>1</v>
      </c>
      <c r="I10" s="10" t="s">
        <v>199</v>
      </c>
      <c r="J10" s="10" t="s">
        <v>200</v>
      </c>
      <c r="K10" s="10" t="s">
        <v>201</v>
      </c>
      <c r="L10" s="10" t="s">
        <v>202</v>
      </c>
      <c r="M10" s="10" t="s">
        <v>204</v>
      </c>
      <c r="N10" s="10" t="s">
        <v>205</v>
      </c>
      <c r="O10" s="10" t="s">
        <v>39</v>
      </c>
      <c r="P10" s="29" t="s">
        <v>206</v>
      </c>
    </row>
    <row r="11" spans="1:16" ht="124.2" customHeight="1">
      <c r="A11" s="11" t="s">
        <v>207</v>
      </c>
      <c r="B11" s="11">
        <v>2</v>
      </c>
      <c r="C11" s="11" t="s">
        <v>25</v>
      </c>
      <c r="D11" s="11" t="s">
        <v>208</v>
      </c>
      <c r="E11" s="11" t="s">
        <v>209</v>
      </c>
      <c r="F11" s="11" t="s">
        <v>210</v>
      </c>
      <c r="G11" s="11" t="s">
        <v>60</v>
      </c>
      <c r="H11" s="16">
        <v>1.25</v>
      </c>
      <c r="I11" s="11" t="s">
        <v>199</v>
      </c>
      <c r="J11" s="11" t="s">
        <v>37</v>
      </c>
      <c r="K11" s="11" t="s">
        <v>211</v>
      </c>
      <c r="L11" s="11" t="s">
        <v>212</v>
      </c>
      <c r="M11" s="11" t="s">
        <v>214</v>
      </c>
      <c r="N11" s="11" t="s">
        <v>216</v>
      </c>
      <c r="O11" s="11" t="s">
        <v>39</v>
      </c>
      <c r="P11" s="29" t="s">
        <v>217</v>
      </c>
    </row>
    <row r="12" spans="1:16" ht="330.6" customHeight="1">
      <c r="A12" s="11" t="s">
        <v>218</v>
      </c>
      <c r="B12" s="11">
        <v>3</v>
      </c>
      <c r="C12" s="11" t="s">
        <v>25</v>
      </c>
      <c r="D12" s="11" t="s">
        <v>219</v>
      </c>
      <c r="E12" s="11" t="s">
        <v>220</v>
      </c>
      <c r="F12" s="11" t="s">
        <v>221</v>
      </c>
      <c r="G12" s="11" t="s">
        <v>60</v>
      </c>
      <c r="H12" s="16">
        <v>1</v>
      </c>
      <c r="I12" s="11" t="s">
        <v>199</v>
      </c>
      <c r="J12" s="11" t="s">
        <v>37</v>
      </c>
      <c r="K12" s="11" t="s">
        <v>222</v>
      </c>
      <c r="L12" s="11" t="s">
        <v>223</v>
      </c>
      <c r="M12" s="11" t="s">
        <v>225</v>
      </c>
      <c r="N12" s="11" t="s">
        <v>227</v>
      </c>
      <c r="O12" s="11" t="s">
        <v>39</v>
      </c>
      <c r="P12" s="29" t="s">
        <v>228</v>
      </c>
    </row>
    <row r="13" spans="1:16" ht="330.6" customHeight="1">
      <c r="A13" s="11" t="s">
        <v>229</v>
      </c>
      <c r="B13" s="11">
        <v>4</v>
      </c>
      <c r="C13" s="11" t="s">
        <v>25</v>
      </c>
      <c r="D13" s="11" t="s">
        <v>230</v>
      </c>
      <c r="E13" s="11" t="s">
        <v>231</v>
      </c>
      <c r="F13" s="11" t="s">
        <v>232</v>
      </c>
      <c r="G13" s="11" t="s">
        <v>60</v>
      </c>
      <c r="H13" s="16">
        <v>1.5</v>
      </c>
      <c r="I13" s="11" t="s">
        <v>199</v>
      </c>
      <c r="J13" s="11" t="s">
        <v>233</v>
      </c>
      <c r="K13" s="11" t="s">
        <v>234</v>
      </c>
      <c r="L13" s="11" t="s">
        <v>223</v>
      </c>
      <c r="M13" s="11" t="s">
        <v>236</v>
      </c>
      <c r="N13" s="11" t="s">
        <v>238</v>
      </c>
      <c r="O13" s="11" t="s">
        <v>39</v>
      </c>
      <c r="P13" s="29" t="s">
        <v>239</v>
      </c>
    </row>
    <row r="14" spans="1:16" ht="124.2" customHeight="1">
      <c r="A14" s="11" t="s">
        <v>240</v>
      </c>
      <c r="B14" s="11">
        <v>5</v>
      </c>
      <c r="C14" s="11" t="s">
        <v>25</v>
      </c>
      <c r="D14" s="11" t="s">
        <v>241</v>
      </c>
      <c r="E14" s="11" t="s">
        <v>242</v>
      </c>
      <c r="F14" s="11" t="s">
        <v>243</v>
      </c>
      <c r="G14" s="11" t="s">
        <v>60</v>
      </c>
      <c r="H14" s="16">
        <v>1.25</v>
      </c>
      <c r="I14" s="11" t="s">
        <v>244</v>
      </c>
      <c r="J14" s="11" t="s">
        <v>245</v>
      </c>
      <c r="K14" s="11" t="s">
        <v>246</v>
      </c>
      <c r="L14" s="11" t="s">
        <v>247</v>
      </c>
      <c r="M14" s="11" t="s">
        <v>249</v>
      </c>
      <c r="N14" s="11" t="s">
        <v>250</v>
      </c>
      <c r="O14" s="11" t="s">
        <v>39</v>
      </c>
      <c r="P14" s="29" t="s">
        <v>251</v>
      </c>
    </row>
    <row r="15" spans="1:16" ht="124.2" customHeight="1">
      <c r="A15" s="11" t="s">
        <v>252</v>
      </c>
      <c r="B15" s="11">
        <v>6</v>
      </c>
      <c r="C15" s="11" t="s">
        <v>25</v>
      </c>
      <c r="D15" s="11" t="s">
        <v>253</v>
      </c>
      <c r="E15" s="11" t="s">
        <v>254</v>
      </c>
      <c r="F15" s="11" t="s">
        <v>255</v>
      </c>
      <c r="G15" s="11" t="s">
        <v>60</v>
      </c>
      <c r="H15" s="16">
        <v>1.5</v>
      </c>
      <c r="I15" s="11" t="s">
        <v>256</v>
      </c>
      <c r="J15" s="11" t="s">
        <v>257</v>
      </c>
      <c r="K15" s="11" t="s">
        <v>258</v>
      </c>
      <c r="L15" s="11" t="s">
        <v>259</v>
      </c>
      <c r="M15" s="11" t="s">
        <v>261</v>
      </c>
      <c r="N15" s="11" t="s">
        <v>263</v>
      </c>
      <c r="O15" s="11" t="s">
        <v>39</v>
      </c>
      <c r="P15" s="29" t="s">
        <v>264</v>
      </c>
    </row>
    <row r="16" spans="1:16" ht="110.4" customHeight="1">
      <c r="A16" s="11" t="s">
        <v>265</v>
      </c>
      <c r="B16" s="11">
        <v>7</v>
      </c>
      <c r="C16" s="11" t="s">
        <v>25</v>
      </c>
      <c r="D16" s="11" t="s">
        <v>266</v>
      </c>
      <c r="E16" s="11" t="s">
        <v>267</v>
      </c>
      <c r="F16" s="11" t="s">
        <v>268</v>
      </c>
      <c r="G16" s="11" t="s">
        <v>60</v>
      </c>
      <c r="H16" s="16">
        <v>1</v>
      </c>
      <c r="I16" s="11" t="s">
        <v>256</v>
      </c>
      <c r="J16" s="11" t="s">
        <v>269</v>
      </c>
      <c r="K16" s="11" t="s">
        <v>270</v>
      </c>
      <c r="L16" s="11" t="s">
        <v>271</v>
      </c>
      <c r="M16" s="11" t="s">
        <v>273</v>
      </c>
      <c r="N16" s="11" t="s">
        <v>275</v>
      </c>
      <c r="O16" s="11" t="s">
        <v>39</v>
      </c>
      <c r="P16" s="29" t="s">
        <v>276</v>
      </c>
    </row>
    <row r="17" spans="1:16" ht="110.4" customHeight="1">
      <c r="A17" s="11" t="s">
        <v>277</v>
      </c>
      <c r="B17" s="11">
        <v>8</v>
      </c>
      <c r="C17" s="11" t="s">
        <v>25</v>
      </c>
      <c r="D17" s="11" t="s">
        <v>278</v>
      </c>
      <c r="E17" s="11" t="s">
        <v>279</v>
      </c>
      <c r="F17" s="11" t="s">
        <v>280</v>
      </c>
      <c r="G17" s="11" t="s">
        <v>60</v>
      </c>
      <c r="H17" s="16">
        <v>1</v>
      </c>
      <c r="I17" s="11" t="s">
        <v>199</v>
      </c>
      <c r="J17" s="11" t="s">
        <v>281</v>
      </c>
      <c r="K17" s="11" t="s">
        <v>282</v>
      </c>
      <c r="L17" s="11" t="s">
        <v>283</v>
      </c>
      <c r="M17" s="11" t="s">
        <v>285</v>
      </c>
      <c r="N17" s="11" t="s">
        <v>286</v>
      </c>
      <c r="O17" s="11" t="s">
        <v>39</v>
      </c>
      <c r="P17" s="29" t="s">
        <v>287</v>
      </c>
    </row>
    <row r="18" spans="1:16" ht="205.2" customHeight="1">
      <c r="A18" s="11" t="s">
        <v>288</v>
      </c>
      <c r="B18" s="11">
        <v>9</v>
      </c>
      <c r="C18" s="11" t="s">
        <v>25</v>
      </c>
      <c r="D18" s="11" t="s">
        <v>289</v>
      </c>
      <c r="E18" s="11" t="s">
        <v>290</v>
      </c>
      <c r="F18" s="11" t="s">
        <v>291</v>
      </c>
      <c r="G18" s="11" t="s">
        <v>46</v>
      </c>
      <c r="H18" s="16">
        <v>1</v>
      </c>
      <c r="I18" s="11" t="s">
        <v>292</v>
      </c>
      <c r="J18" s="11" t="s">
        <v>293</v>
      </c>
      <c r="K18" s="11" t="s">
        <v>294</v>
      </c>
      <c r="L18" s="11" t="s">
        <v>295</v>
      </c>
      <c r="M18" s="11" t="s">
        <v>297</v>
      </c>
      <c r="N18" s="11" t="s">
        <v>300</v>
      </c>
      <c r="O18" s="11" t="s">
        <v>39</v>
      </c>
      <c r="P18" s="29" t="s">
        <v>301</v>
      </c>
    </row>
    <row r="19" spans="1:16" ht="205.2" customHeight="1">
      <c r="A19" s="11" t="s">
        <v>302</v>
      </c>
      <c r="B19" s="11">
        <v>10</v>
      </c>
      <c r="C19" s="11" t="s">
        <v>25</v>
      </c>
      <c r="D19" s="11" t="s">
        <v>144</v>
      </c>
      <c r="E19" s="11" t="s">
        <v>303</v>
      </c>
      <c r="F19" s="11" t="s">
        <v>304</v>
      </c>
      <c r="G19" s="11" t="s">
        <v>46</v>
      </c>
      <c r="H19" s="16">
        <v>1</v>
      </c>
      <c r="I19" s="11" t="s">
        <v>292</v>
      </c>
      <c r="J19" s="11" t="s">
        <v>305</v>
      </c>
      <c r="K19" s="11" t="s">
        <v>306</v>
      </c>
      <c r="L19" s="11" t="s">
        <v>307</v>
      </c>
      <c r="M19" s="11" t="s">
        <v>309</v>
      </c>
      <c r="N19" s="11" t="s">
        <v>311</v>
      </c>
      <c r="O19" s="11" t="s">
        <v>39</v>
      </c>
      <c r="P19" s="29" t="s">
        <v>312</v>
      </c>
    </row>
    <row r="20" spans="1:16" ht="124.2" customHeight="1">
      <c r="A20" s="11" t="s">
        <v>313</v>
      </c>
      <c r="B20" s="11">
        <v>11</v>
      </c>
      <c r="C20" s="11" t="s">
        <v>314</v>
      </c>
      <c r="D20" s="11" t="s">
        <v>315</v>
      </c>
      <c r="E20" s="11" t="s">
        <v>316</v>
      </c>
      <c r="F20" s="11" t="s">
        <v>317</v>
      </c>
      <c r="G20" s="11" t="s">
        <v>29</v>
      </c>
      <c r="H20" s="16">
        <v>0.75</v>
      </c>
      <c r="I20" s="11" t="s">
        <v>318</v>
      </c>
      <c r="J20" s="11" t="s">
        <v>37</v>
      </c>
      <c r="K20" s="11" t="s">
        <v>319</v>
      </c>
      <c r="L20" s="11" t="s">
        <v>320</v>
      </c>
      <c r="M20" s="11" t="s">
        <v>322</v>
      </c>
      <c r="N20" s="11" t="s">
        <v>324</v>
      </c>
      <c r="O20" s="11" t="s">
        <v>39</v>
      </c>
      <c r="P20" s="29" t="s">
        <v>325</v>
      </c>
    </row>
    <row r="21" spans="1:16" ht="193.8" customHeight="1">
      <c r="A21" s="11" t="s">
        <v>326</v>
      </c>
      <c r="B21" s="11">
        <v>12</v>
      </c>
      <c r="C21" s="11" t="s">
        <v>25</v>
      </c>
      <c r="D21" s="11" t="s">
        <v>168</v>
      </c>
      <c r="E21" s="11" t="s">
        <v>327</v>
      </c>
      <c r="F21" s="11" t="s">
        <v>328</v>
      </c>
      <c r="G21" s="11" t="s">
        <v>29</v>
      </c>
      <c r="H21" s="16">
        <v>0.75</v>
      </c>
      <c r="I21" s="11" t="s">
        <v>329</v>
      </c>
      <c r="J21" s="11" t="s">
        <v>330</v>
      </c>
      <c r="K21" s="11" t="s">
        <v>331</v>
      </c>
      <c r="L21" s="11" t="s">
        <v>332</v>
      </c>
      <c r="M21" s="11" t="s">
        <v>334</v>
      </c>
      <c r="N21" s="11" t="s">
        <v>336</v>
      </c>
      <c r="O21" s="11" t="s">
        <v>39</v>
      </c>
      <c r="P21" s="29" t="s">
        <v>337</v>
      </c>
    </row>
    <row r="22" spans="1:16" ht="82.8" customHeight="1">
      <c r="A22" t="s">
        <v>338</v>
      </c>
      <c r="B22">
        <v>13</v>
      </c>
      <c r="C22" t="s">
        <v>25</v>
      </c>
      <c r="D22" t="s">
        <v>182</v>
      </c>
      <c r="E22" t="s">
        <v>339</v>
      </c>
      <c r="F22" t="s">
        <v>340</v>
      </c>
      <c r="G22" t="s">
        <v>46</v>
      </c>
      <c r="H22">
        <v>1</v>
      </c>
      <c r="I22" t="s">
        <v>185</v>
      </c>
      <c r="J22" t="s">
        <v>37</v>
      </c>
      <c r="K22" t="s">
        <v>341</v>
      </c>
      <c r="L22" t="s">
        <v>342</v>
      </c>
      <c r="M22" t="s">
        <v>343</v>
      </c>
      <c r="N22" t="s">
        <v>191</v>
      </c>
      <c r="O22" s="11" t="s">
        <v>39</v>
      </c>
      <c r="P22" s="29" t="s">
        <v>345</v>
      </c>
    </row>
    <row r="23" spans="1:16" ht="24" customHeight="1">
      <c r="A23" s="83"/>
      <c r="B23" s="67"/>
      <c r="C23" s="67"/>
      <c r="D23" s="67"/>
      <c r="E23" s="67"/>
      <c r="F23" s="67"/>
      <c r="G23" s="67"/>
      <c r="H23" s="67"/>
      <c r="I23" s="67"/>
      <c r="J23" s="67"/>
      <c r="K23" s="67"/>
      <c r="L23" s="67"/>
      <c r="M23" s="67"/>
      <c r="N23" s="67"/>
      <c r="O23" s="67"/>
    </row>
    <row r="24" spans="1:16" ht="34.049999999999997" customHeight="1">
      <c r="A24" s="30" t="s">
        <v>1040</v>
      </c>
      <c r="B24" s="30"/>
      <c r="C24" s="30"/>
      <c r="D24" s="30"/>
      <c r="E24" s="30"/>
      <c r="F24" s="30"/>
      <c r="G24" s="30"/>
      <c r="H24" s="31"/>
      <c r="I24" s="31"/>
      <c r="J24" s="31"/>
      <c r="K24" s="31"/>
      <c r="L24" s="31"/>
      <c r="M24" s="31"/>
      <c r="N24" s="31"/>
      <c r="O24" s="31"/>
      <c r="P24" s="31"/>
    </row>
    <row r="25" spans="1:16" ht="48" customHeight="1">
      <c r="A25" s="33" t="s">
        <v>1041</v>
      </c>
      <c r="B25" s="33" t="s">
        <v>11</v>
      </c>
      <c r="C25" s="33" t="s">
        <v>1042</v>
      </c>
      <c r="D25" s="33" t="s">
        <v>1043</v>
      </c>
      <c r="E25" s="33" t="s">
        <v>1044</v>
      </c>
      <c r="F25" s="33" t="s">
        <v>1045</v>
      </c>
      <c r="G25" s="33" t="s">
        <v>1046</v>
      </c>
    </row>
    <row r="26" spans="1:16" ht="52.05" customHeight="1">
      <c r="A26" s="22">
        <v>1</v>
      </c>
      <c r="B26" s="22" t="s">
        <v>199</v>
      </c>
      <c r="C26" s="22" t="s">
        <v>1084</v>
      </c>
      <c r="D26" s="22" t="s">
        <v>1085</v>
      </c>
      <c r="E26" s="22" t="s">
        <v>1086</v>
      </c>
      <c r="F26" s="22" t="s">
        <v>1087</v>
      </c>
      <c r="G26" s="22" t="s">
        <v>1060</v>
      </c>
    </row>
    <row r="27" spans="1:16" ht="52.05" customHeight="1">
      <c r="A27" s="34">
        <v>2</v>
      </c>
      <c r="B27" s="34" t="s">
        <v>244</v>
      </c>
      <c r="C27" s="34" t="s">
        <v>1088</v>
      </c>
      <c r="D27" s="34" t="s">
        <v>1089</v>
      </c>
      <c r="E27" s="34" t="s">
        <v>1090</v>
      </c>
      <c r="F27" s="34" t="s">
        <v>1091</v>
      </c>
      <c r="G27" s="34" t="s">
        <v>1060</v>
      </c>
    </row>
    <row r="28" spans="1:16" ht="52.05" customHeight="1">
      <c r="A28" s="22">
        <v>3</v>
      </c>
      <c r="B28" s="22" t="s">
        <v>256</v>
      </c>
      <c r="C28" s="22" t="s">
        <v>1092</v>
      </c>
      <c r="D28" s="22" t="s">
        <v>1093</v>
      </c>
      <c r="E28" s="22" t="s">
        <v>1094</v>
      </c>
      <c r="F28" s="22" t="s">
        <v>1095</v>
      </c>
      <c r="G28" s="22" t="s">
        <v>1060</v>
      </c>
    </row>
    <row r="29" spans="1:16" ht="52.05" customHeight="1">
      <c r="A29" s="34">
        <v>4</v>
      </c>
      <c r="B29" s="34" t="s">
        <v>292</v>
      </c>
      <c r="C29" s="34" t="s">
        <v>1096</v>
      </c>
      <c r="D29" s="34" t="s">
        <v>1097</v>
      </c>
      <c r="E29" s="34" t="s">
        <v>1098</v>
      </c>
      <c r="F29" s="34" t="s">
        <v>1099</v>
      </c>
      <c r="G29" s="34" t="s">
        <v>1060</v>
      </c>
    </row>
    <row r="30" spans="1:16" ht="52.05" customHeight="1">
      <c r="A30" s="22">
        <v>5</v>
      </c>
      <c r="B30" s="22" t="s">
        <v>318</v>
      </c>
      <c r="C30" s="22" t="s">
        <v>1100</v>
      </c>
      <c r="D30" s="22" t="s">
        <v>1101</v>
      </c>
      <c r="E30" s="22" t="s">
        <v>1102</v>
      </c>
      <c r="F30" s="22" t="s">
        <v>1103</v>
      </c>
      <c r="G30" s="22" t="s">
        <v>1104</v>
      </c>
    </row>
    <row r="31" spans="1:16" ht="52.05" customHeight="1">
      <c r="A31" s="35">
        <v>6</v>
      </c>
      <c r="B31" s="35" t="s">
        <v>329</v>
      </c>
      <c r="C31" s="35" t="s">
        <v>1073</v>
      </c>
      <c r="D31" s="35" t="s">
        <v>1074</v>
      </c>
      <c r="E31" s="35" t="s">
        <v>1105</v>
      </c>
      <c r="F31" s="35" t="s">
        <v>334</v>
      </c>
      <c r="G31" s="35" t="s">
        <v>1051</v>
      </c>
    </row>
    <row r="32" spans="1:16" ht="52.05" customHeight="1">
      <c r="A32" s="35">
        <v>7</v>
      </c>
      <c r="B32" s="35" t="s">
        <v>185</v>
      </c>
      <c r="C32" s="35" t="s">
        <v>1106</v>
      </c>
      <c r="D32" s="35" t="s">
        <v>1077</v>
      </c>
      <c r="E32" s="35" t="s">
        <v>1078</v>
      </c>
      <c r="F32" s="35" t="s">
        <v>1107</v>
      </c>
      <c r="G32" s="35" t="s">
        <v>1080</v>
      </c>
    </row>
  </sheetData>
  <mergeCells count="9">
    <mergeCell ref="A4:B4"/>
    <mergeCell ref="A2:O2"/>
    <mergeCell ref="G5:O6"/>
    <mergeCell ref="A1:O1"/>
    <mergeCell ref="A23:O23"/>
    <mergeCell ref="A5:B6"/>
    <mergeCell ref="D4:E4"/>
    <mergeCell ref="D5:E6"/>
    <mergeCell ref="G4:O4"/>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1.8984375" customWidth="1"/>
    <col min="6" max="6" width="30.09765625" customWidth="1"/>
    <col min="7" max="7" width="45" customWidth="1"/>
    <col min="8" max="8" width="8" customWidth="1"/>
    <col min="9" max="9" width="18.69921875" customWidth="1"/>
    <col min="10" max="10" width="18" customWidth="1"/>
    <col min="11" max="11" width="36" customWidth="1"/>
    <col min="12" max="12" width="38" customWidth="1"/>
    <col min="13" max="13" width="31" customWidth="1"/>
    <col min="14" max="14" width="40.796875" customWidth="1"/>
    <col min="15" max="15" width="16" customWidth="1"/>
    <col min="16" max="16" width="52" style="27" customWidth="1"/>
  </cols>
  <sheetData>
    <row r="1" spans="1:16" ht="31.95" customHeight="1">
      <c r="A1" s="66" t="s">
        <v>1108</v>
      </c>
      <c r="B1" s="67"/>
      <c r="C1" s="67"/>
      <c r="D1" s="67"/>
      <c r="E1" s="67"/>
      <c r="F1" s="67"/>
      <c r="G1" s="67"/>
      <c r="H1" s="67"/>
      <c r="I1" s="67"/>
      <c r="J1" s="67"/>
      <c r="K1" s="67"/>
      <c r="L1" s="67"/>
      <c r="M1" s="67"/>
      <c r="N1" s="67"/>
      <c r="O1" s="67"/>
    </row>
    <row r="2" spans="1:16" ht="31.95" customHeight="1">
      <c r="A2" s="75" t="s">
        <v>1109</v>
      </c>
      <c r="B2" s="67"/>
      <c r="C2" s="67"/>
      <c r="D2" s="67"/>
      <c r="E2" s="67"/>
      <c r="F2" s="67"/>
      <c r="G2" s="67"/>
      <c r="H2" s="67"/>
      <c r="I2" s="67"/>
      <c r="J2" s="67"/>
      <c r="K2" s="67"/>
      <c r="L2" s="67"/>
      <c r="M2" s="67"/>
      <c r="N2" s="67"/>
      <c r="O2" s="67"/>
    </row>
    <row r="4" spans="1:16" ht="28.05" customHeight="1">
      <c r="A4" s="71" t="s">
        <v>1020</v>
      </c>
      <c r="B4" s="73"/>
      <c r="D4" s="71" t="s">
        <v>1014</v>
      </c>
      <c r="E4" s="73"/>
      <c r="G4" s="71" t="s">
        <v>1029</v>
      </c>
      <c r="H4" s="72"/>
      <c r="I4" s="72"/>
      <c r="J4" s="72"/>
      <c r="K4" s="72"/>
      <c r="L4" s="72"/>
      <c r="M4" s="72"/>
      <c r="N4" s="72"/>
      <c r="O4" s="73"/>
    </row>
    <row r="5" spans="1:16">
      <c r="A5" s="84">
        <f>IF(COUNTA(O10:O40)=0,0,COUNTIF(O10:O40,"Done")/COUNTA(A10:A40))</f>
        <v>0.5714285714285714</v>
      </c>
      <c r="B5" s="62"/>
      <c r="D5" s="85">
        <f>COUNTIF(O10:O40,"Blocked")</f>
        <v>0</v>
      </c>
      <c r="E5" s="62"/>
      <c r="G5" s="82" t="s">
        <v>1110</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8" t="s">
        <v>22</v>
      </c>
    </row>
    <row r="10" spans="1:16" ht="110.4" hidden="1" customHeight="1">
      <c r="A10" s="10" t="s">
        <v>346</v>
      </c>
      <c r="B10" s="10">
        <v>1</v>
      </c>
      <c r="C10" s="10" t="s">
        <v>25</v>
      </c>
      <c r="D10" s="10" t="s">
        <v>348</v>
      </c>
      <c r="E10" s="10" t="s">
        <v>349</v>
      </c>
      <c r="F10" s="10" t="s">
        <v>350</v>
      </c>
      <c r="G10" s="10" t="s">
        <v>60</v>
      </c>
      <c r="H10" s="15">
        <v>1</v>
      </c>
      <c r="I10" s="10" t="s">
        <v>351</v>
      </c>
      <c r="J10" s="10" t="s">
        <v>352</v>
      </c>
      <c r="K10" s="10" t="s">
        <v>353</v>
      </c>
      <c r="L10" s="10" t="s">
        <v>354</v>
      </c>
      <c r="M10" s="10" t="s">
        <v>356</v>
      </c>
      <c r="N10" s="10" t="s">
        <v>358</v>
      </c>
      <c r="O10" s="10" t="s">
        <v>39</v>
      </c>
      <c r="P10" s="28" t="s">
        <v>359</v>
      </c>
    </row>
    <row r="11" spans="1:16" ht="110.4" hidden="1" customHeight="1">
      <c r="A11" s="11" t="s">
        <v>360</v>
      </c>
      <c r="B11" s="11">
        <v>2</v>
      </c>
      <c r="C11" s="11" t="s">
        <v>25</v>
      </c>
      <c r="D11" s="11" t="s">
        <v>361</v>
      </c>
      <c r="E11" s="11" t="s">
        <v>362</v>
      </c>
      <c r="F11" s="11" t="s">
        <v>363</v>
      </c>
      <c r="G11" s="11" t="s">
        <v>60</v>
      </c>
      <c r="H11" s="16">
        <v>1.25</v>
      </c>
      <c r="I11" s="11" t="s">
        <v>351</v>
      </c>
      <c r="J11" s="11" t="s">
        <v>364</v>
      </c>
      <c r="K11" s="11" t="s">
        <v>365</v>
      </c>
      <c r="L11" s="11" t="s">
        <v>366</v>
      </c>
      <c r="M11" s="11" t="s">
        <v>368</v>
      </c>
      <c r="N11" s="11" t="s">
        <v>370</v>
      </c>
      <c r="O11" s="11" t="s">
        <v>39</v>
      </c>
      <c r="P11" s="28" t="s">
        <v>371</v>
      </c>
    </row>
    <row r="12" spans="1:16" ht="110.4" hidden="1" customHeight="1">
      <c r="A12" s="11" t="s">
        <v>372</v>
      </c>
      <c r="B12" s="11">
        <v>3</v>
      </c>
      <c r="C12" s="11" t="s">
        <v>25</v>
      </c>
      <c r="D12" s="11" t="s">
        <v>373</v>
      </c>
      <c r="E12" s="11" t="s">
        <v>374</v>
      </c>
      <c r="F12" s="11" t="s">
        <v>375</v>
      </c>
      <c r="G12" s="11" t="s">
        <v>60</v>
      </c>
      <c r="H12" s="16">
        <v>0.75</v>
      </c>
      <c r="I12" s="11" t="s">
        <v>351</v>
      </c>
      <c r="J12" s="11" t="s">
        <v>37</v>
      </c>
      <c r="K12" s="11" t="s">
        <v>376</v>
      </c>
      <c r="L12" s="11" t="s">
        <v>377</v>
      </c>
      <c r="M12" s="11" t="s">
        <v>379</v>
      </c>
      <c r="N12" s="11" t="s">
        <v>381</v>
      </c>
      <c r="O12" s="11" t="s">
        <v>39</v>
      </c>
      <c r="P12" s="28" t="s">
        <v>382</v>
      </c>
    </row>
    <row r="13" spans="1:16" ht="110.4" hidden="1" customHeight="1">
      <c r="A13" s="11" t="s">
        <v>383</v>
      </c>
      <c r="B13" s="11">
        <v>4</v>
      </c>
      <c r="C13" s="11" t="s">
        <v>25</v>
      </c>
      <c r="D13" s="11" t="s">
        <v>384</v>
      </c>
      <c r="E13" s="11" t="s">
        <v>385</v>
      </c>
      <c r="F13" s="11" t="s">
        <v>386</v>
      </c>
      <c r="G13" s="11" t="s">
        <v>60</v>
      </c>
      <c r="H13" s="16">
        <v>1.5</v>
      </c>
      <c r="I13" s="11" t="s">
        <v>351</v>
      </c>
      <c r="J13" s="11" t="s">
        <v>387</v>
      </c>
      <c r="K13" s="11" t="s">
        <v>388</v>
      </c>
      <c r="L13" s="11" t="s">
        <v>389</v>
      </c>
      <c r="M13" s="11" t="s">
        <v>391</v>
      </c>
      <c r="N13" s="11" t="s">
        <v>393</v>
      </c>
      <c r="O13" s="11" t="s">
        <v>39</v>
      </c>
      <c r="P13" s="28" t="s">
        <v>394</v>
      </c>
    </row>
    <row r="14" spans="1:16" ht="110.4" hidden="1" customHeight="1">
      <c r="A14" s="11" t="s">
        <v>395</v>
      </c>
      <c r="B14" s="11">
        <v>5</v>
      </c>
      <c r="C14" s="11" t="s">
        <v>25</v>
      </c>
      <c r="D14" s="11" t="s">
        <v>396</v>
      </c>
      <c r="E14" s="11" t="s">
        <v>397</v>
      </c>
      <c r="F14" s="11" t="s">
        <v>398</v>
      </c>
      <c r="G14" s="11" t="s">
        <v>60</v>
      </c>
      <c r="H14" s="16">
        <v>1</v>
      </c>
      <c r="I14" s="11" t="s">
        <v>399</v>
      </c>
      <c r="J14" s="11" t="s">
        <v>400</v>
      </c>
      <c r="K14" s="11" t="s">
        <v>401</v>
      </c>
      <c r="L14" s="11" t="s">
        <v>402</v>
      </c>
      <c r="M14" s="11" t="s">
        <v>404</v>
      </c>
      <c r="N14" s="11" t="s">
        <v>405</v>
      </c>
      <c r="O14" s="11" t="s">
        <v>39</v>
      </c>
      <c r="P14" s="28" t="s">
        <v>406</v>
      </c>
    </row>
    <row r="15" spans="1:16" ht="110.4" hidden="1" customHeight="1">
      <c r="A15" s="11" t="s">
        <v>407</v>
      </c>
      <c r="B15" s="11">
        <v>6</v>
      </c>
      <c r="C15" s="11" t="s">
        <v>25</v>
      </c>
      <c r="D15" s="11" t="s">
        <v>408</v>
      </c>
      <c r="E15" s="11" t="s">
        <v>409</v>
      </c>
      <c r="F15" s="11" t="s">
        <v>410</v>
      </c>
      <c r="G15" s="11" t="s">
        <v>29</v>
      </c>
      <c r="H15" s="16">
        <v>1.25</v>
      </c>
      <c r="I15" s="11" t="s">
        <v>411</v>
      </c>
      <c r="J15" s="11" t="s">
        <v>412</v>
      </c>
      <c r="K15" s="11" t="s">
        <v>413</v>
      </c>
      <c r="L15" s="11" t="s">
        <v>414</v>
      </c>
      <c r="M15" s="11" t="s">
        <v>416</v>
      </c>
      <c r="N15" s="11" t="s">
        <v>417</v>
      </c>
      <c r="O15" s="11" t="s">
        <v>39</v>
      </c>
      <c r="P15" s="28" t="s">
        <v>418</v>
      </c>
    </row>
    <row r="16" spans="1:16" ht="110.4" hidden="1" customHeight="1">
      <c r="A16" s="11" t="s">
        <v>419</v>
      </c>
      <c r="B16" s="11">
        <v>7</v>
      </c>
      <c r="C16" s="11" t="s">
        <v>25</v>
      </c>
      <c r="D16" s="11" t="s">
        <v>420</v>
      </c>
      <c r="E16" s="11" t="s">
        <v>421</v>
      </c>
      <c r="F16" s="11" t="s">
        <v>422</v>
      </c>
      <c r="G16" s="11" t="s">
        <v>60</v>
      </c>
      <c r="H16" s="16">
        <v>1.5</v>
      </c>
      <c r="I16" s="11" t="s">
        <v>411</v>
      </c>
      <c r="J16" s="11" t="s">
        <v>423</v>
      </c>
      <c r="K16" s="11" t="s">
        <v>424</v>
      </c>
      <c r="L16" s="11" t="s">
        <v>425</v>
      </c>
      <c r="M16" s="11" t="s">
        <v>427</v>
      </c>
      <c r="N16" s="11" t="s">
        <v>429</v>
      </c>
      <c r="O16" s="11" t="s">
        <v>39</v>
      </c>
      <c r="P16" s="28" t="s">
        <v>430</v>
      </c>
    </row>
    <row r="17" spans="1:16" ht="110.4" hidden="1" customHeight="1">
      <c r="A17" s="11" t="s">
        <v>431</v>
      </c>
      <c r="B17" s="11">
        <v>8</v>
      </c>
      <c r="C17" s="11" t="s">
        <v>25</v>
      </c>
      <c r="D17" s="11" t="s">
        <v>432</v>
      </c>
      <c r="E17" s="11" t="s">
        <v>433</v>
      </c>
      <c r="F17" s="11" t="s">
        <v>434</v>
      </c>
      <c r="G17" s="11" t="s">
        <v>60</v>
      </c>
      <c r="H17" s="16">
        <v>1</v>
      </c>
      <c r="I17" s="11" t="s">
        <v>399</v>
      </c>
      <c r="J17" s="11" t="s">
        <v>281</v>
      </c>
      <c r="K17" s="11" t="s">
        <v>435</v>
      </c>
      <c r="L17" s="11" t="s">
        <v>436</v>
      </c>
      <c r="M17" s="11" t="s">
        <v>438</v>
      </c>
      <c r="N17" s="11" t="s">
        <v>439</v>
      </c>
      <c r="O17" s="11" t="s">
        <v>39</v>
      </c>
      <c r="P17" s="28" t="s">
        <v>440</v>
      </c>
    </row>
    <row r="18" spans="1:16" ht="110.4" customHeight="1">
      <c r="A18" s="11" t="s">
        <v>441</v>
      </c>
      <c r="B18" s="11">
        <v>9</v>
      </c>
      <c r="C18" s="11" t="s">
        <v>25</v>
      </c>
      <c r="D18" s="11" t="s">
        <v>442</v>
      </c>
      <c r="E18" s="11" t="s">
        <v>443</v>
      </c>
      <c r="F18" s="11" t="s">
        <v>444</v>
      </c>
      <c r="G18" s="11" t="s">
        <v>60</v>
      </c>
      <c r="H18" s="16">
        <v>0.75</v>
      </c>
      <c r="I18" s="11" t="s">
        <v>445</v>
      </c>
      <c r="J18" s="11" t="s">
        <v>446</v>
      </c>
      <c r="K18" s="11" t="s">
        <v>447</v>
      </c>
      <c r="L18" s="11" t="s">
        <v>448</v>
      </c>
      <c r="M18" s="11" t="s">
        <v>450</v>
      </c>
      <c r="N18" s="11" t="s">
        <v>452</v>
      </c>
      <c r="O18" s="11" t="s">
        <v>1111</v>
      </c>
      <c r="P18" s="28" t="s">
        <v>453</v>
      </c>
    </row>
    <row r="19" spans="1:16" ht="110.4" hidden="1" customHeight="1">
      <c r="A19" s="11" t="s">
        <v>454</v>
      </c>
      <c r="B19" s="11">
        <v>10</v>
      </c>
      <c r="C19" s="11" t="s">
        <v>25</v>
      </c>
      <c r="D19" s="11" t="s">
        <v>455</v>
      </c>
      <c r="E19" s="11" t="s">
        <v>456</v>
      </c>
      <c r="F19" s="11" t="s">
        <v>457</v>
      </c>
      <c r="G19" s="11" t="s">
        <v>46</v>
      </c>
      <c r="H19" s="16">
        <v>0.75</v>
      </c>
      <c r="I19" s="11" t="s">
        <v>411</v>
      </c>
      <c r="J19" s="11" t="s">
        <v>458</v>
      </c>
      <c r="K19" s="11" t="s">
        <v>459</v>
      </c>
      <c r="L19" s="11" t="s">
        <v>460</v>
      </c>
      <c r="M19" s="11" t="s">
        <v>462</v>
      </c>
      <c r="N19" s="11" t="s">
        <v>463</v>
      </c>
      <c r="O19" s="11" t="s">
        <v>39</v>
      </c>
      <c r="P19" s="28" t="s">
        <v>464</v>
      </c>
    </row>
    <row r="20" spans="1:16" ht="193.8" hidden="1" customHeight="1">
      <c r="A20" s="11" t="s">
        <v>465</v>
      </c>
      <c r="B20" s="11">
        <v>11</v>
      </c>
      <c r="C20" s="11" t="s">
        <v>25</v>
      </c>
      <c r="D20" s="11" t="s">
        <v>466</v>
      </c>
      <c r="E20" s="11" t="s">
        <v>467</v>
      </c>
      <c r="F20" s="11" t="s">
        <v>468</v>
      </c>
      <c r="G20" s="11" t="s">
        <v>46</v>
      </c>
      <c r="H20" s="16">
        <v>1</v>
      </c>
      <c r="I20" s="11" t="s">
        <v>469</v>
      </c>
      <c r="J20" s="11" t="s">
        <v>37</v>
      </c>
      <c r="K20" s="11" t="s">
        <v>470</v>
      </c>
      <c r="L20" s="11" t="s">
        <v>471</v>
      </c>
      <c r="M20" s="11" t="s">
        <v>473</v>
      </c>
      <c r="N20" s="11" t="s">
        <v>475</v>
      </c>
      <c r="O20" s="11" t="s">
        <v>39</v>
      </c>
      <c r="P20" s="28" t="s">
        <v>476</v>
      </c>
    </row>
    <row r="21" spans="1:16" ht="193.8" customHeight="1">
      <c r="A21" s="11" t="s">
        <v>477</v>
      </c>
      <c r="B21" s="11">
        <v>12</v>
      </c>
      <c r="C21" s="11" t="s">
        <v>25</v>
      </c>
      <c r="D21" s="11" t="s">
        <v>168</v>
      </c>
      <c r="E21" s="11" t="s">
        <v>478</v>
      </c>
      <c r="F21" s="11" t="s">
        <v>479</v>
      </c>
      <c r="G21" s="11" t="s">
        <v>29</v>
      </c>
      <c r="H21" s="16">
        <v>0.75</v>
      </c>
      <c r="I21" s="11" t="s">
        <v>480</v>
      </c>
      <c r="J21" s="11" t="s">
        <v>481</v>
      </c>
      <c r="K21" s="11" t="s">
        <v>482</v>
      </c>
      <c r="L21" s="11" t="s">
        <v>483</v>
      </c>
      <c r="M21" s="11" t="s">
        <v>485</v>
      </c>
      <c r="N21" s="11" t="s">
        <v>487</v>
      </c>
      <c r="O21" s="11" t="s">
        <v>39</v>
      </c>
      <c r="P21" s="28" t="s">
        <v>488</v>
      </c>
    </row>
    <row r="22" spans="1:16" ht="82.8" customHeight="1">
      <c r="A22" t="s">
        <v>489</v>
      </c>
      <c r="B22">
        <v>13</v>
      </c>
      <c r="C22" t="s">
        <v>25</v>
      </c>
      <c r="D22" t="s">
        <v>182</v>
      </c>
      <c r="E22" t="s">
        <v>490</v>
      </c>
      <c r="F22" t="s">
        <v>491</v>
      </c>
      <c r="G22" t="s">
        <v>46</v>
      </c>
      <c r="H22">
        <v>1</v>
      </c>
      <c r="I22" t="s">
        <v>185</v>
      </c>
      <c r="J22" t="s">
        <v>37</v>
      </c>
      <c r="K22" t="s">
        <v>492</v>
      </c>
      <c r="L22" t="s">
        <v>493</v>
      </c>
      <c r="M22" t="s">
        <v>494</v>
      </c>
      <c r="N22" t="s">
        <v>191</v>
      </c>
      <c r="O22" s="11" t="s">
        <v>39</v>
      </c>
      <c r="P22" s="28" t="s">
        <v>497</v>
      </c>
    </row>
    <row r="23" spans="1:16" ht="24" customHeight="1">
      <c r="A23" s="83"/>
      <c r="B23" s="67"/>
      <c r="C23" s="67"/>
      <c r="D23" s="67"/>
      <c r="E23" s="67"/>
      <c r="F23" s="67"/>
      <c r="G23" s="67"/>
      <c r="H23" s="67"/>
      <c r="I23" s="67"/>
      <c r="J23" s="67"/>
      <c r="K23" s="67"/>
      <c r="L23" s="67"/>
      <c r="M23" s="67"/>
      <c r="N23" s="67"/>
      <c r="O23" s="67"/>
    </row>
    <row r="24" spans="1:16" ht="34.049999999999997" customHeight="1">
      <c r="A24" s="30" t="s">
        <v>1040</v>
      </c>
      <c r="B24" s="30"/>
      <c r="C24" s="30"/>
      <c r="D24" s="30"/>
      <c r="E24" s="30"/>
      <c r="F24" s="30"/>
      <c r="G24" s="30"/>
      <c r="H24" s="31"/>
      <c r="I24" s="31"/>
      <c r="J24" s="31"/>
      <c r="K24" s="31"/>
      <c r="L24" s="31"/>
      <c r="M24" s="31"/>
      <c r="N24" s="31"/>
      <c r="O24" s="31"/>
      <c r="P24" s="56"/>
    </row>
    <row r="25" spans="1:16" ht="48" customHeight="1">
      <c r="A25" s="33" t="s">
        <v>1041</v>
      </c>
      <c r="B25" s="33" t="s">
        <v>11</v>
      </c>
      <c r="C25" s="33" t="s">
        <v>1042</v>
      </c>
      <c r="D25" s="33" t="s">
        <v>1043</v>
      </c>
      <c r="E25" s="33" t="s">
        <v>1044</v>
      </c>
      <c r="F25" s="33" t="s">
        <v>1045</v>
      </c>
      <c r="G25" s="33" t="s">
        <v>1046</v>
      </c>
    </row>
    <row r="26" spans="1:16" ht="52.05" customHeight="1">
      <c r="A26" s="22">
        <v>1</v>
      </c>
      <c r="B26" s="22" t="s">
        <v>351</v>
      </c>
      <c r="C26" s="22" t="s">
        <v>1112</v>
      </c>
      <c r="D26" s="22" t="s">
        <v>1113</v>
      </c>
      <c r="E26" s="22" t="s">
        <v>1114</v>
      </c>
      <c r="F26" s="22" t="s">
        <v>1115</v>
      </c>
      <c r="G26" s="22" t="s">
        <v>1060</v>
      </c>
    </row>
    <row r="27" spans="1:16" ht="52.05" customHeight="1">
      <c r="A27" s="34">
        <v>2</v>
      </c>
      <c r="B27" s="34" t="s">
        <v>411</v>
      </c>
      <c r="C27" s="34" t="s">
        <v>1116</v>
      </c>
      <c r="D27" s="34" t="s">
        <v>1117</v>
      </c>
      <c r="E27" s="34" t="s">
        <v>1118</v>
      </c>
      <c r="F27" s="34" t="s">
        <v>1119</v>
      </c>
      <c r="G27" s="34" t="s">
        <v>1060</v>
      </c>
    </row>
    <row r="28" spans="1:16" ht="52.05" customHeight="1">
      <c r="A28" s="22">
        <v>3</v>
      </c>
      <c r="B28" s="22" t="s">
        <v>399</v>
      </c>
      <c r="C28" s="22" t="s">
        <v>1120</v>
      </c>
      <c r="D28" s="22" t="s">
        <v>1121</v>
      </c>
      <c r="E28" s="22" t="s">
        <v>1122</v>
      </c>
      <c r="F28" s="22" t="s">
        <v>1123</v>
      </c>
      <c r="G28" s="22" t="s">
        <v>1060</v>
      </c>
    </row>
    <row r="29" spans="1:16" ht="52.05" customHeight="1">
      <c r="A29" s="34">
        <v>4</v>
      </c>
      <c r="B29" s="34" t="s">
        <v>469</v>
      </c>
      <c r="C29" s="34" t="s">
        <v>1124</v>
      </c>
      <c r="D29" s="34" t="s">
        <v>1125</v>
      </c>
      <c r="E29" s="34" t="s">
        <v>1126</v>
      </c>
      <c r="F29" s="34" t="s">
        <v>1127</v>
      </c>
      <c r="G29" s="34" t="s">
        <v>1060</v>
      </c>
    </row>
    <row r="30" spans="1:16" ht="52.05" customHeight="1">
      <c r="A30" s="35">
        <v>5</v>
      </c>
      <c r="B30" s="35" t="s">
        <v>480</v>
      </c>
      <c r="C30" s="35" t="s">
        <v>1073</v>
      </c>
      <c r="D30" s="35" t="s">
        <v>1074</v>
      </c>
      <c r="E30" s="35" t="s">
        <v>1128</v>
      </c>
      <c r="F30" s="35" t="s">
        <v>485</v>
      </c>
      <c r="G30" s="35" t="s">
        <v>1051</v>
      </c>
    </row>
    <row r="31" spans="1:16" ht="52.05" customHeight="1">
      <c r="A31" s="35">
        <v>6</v>
      </c>
      <c r="B31" s="35" t="s">
        <v>185</v>
      </c>
      <c r="C31" s="35" t="s">
        <v>1129</v>
      </c>
      <c r="D31" s="35" t="s">
        <v>1077</v>
      </c>
      <c r="E31" s="35" t="s">
        <v>1078</v>
      </c>
      <c r="F31" s="35" t="s">
        <v>1130</v>
      </c>
      <c r="G31" s="35" t="s">
        <v>1080</v>
      </c>
    </row>
  </sheetData>
  <mergeCells count="9">
    <mergeCell ref="A4:B4"/>
    <mergeCell ref="A2:O2"/>
    <mergeCell ref="G5:O6"/>
    <mergeCell ref="A1:O1"/>
    <mergeCell ref="A23:O23"/>
    <mergeCell ref="A5:B6"/>
    <mergeCell ref="D4:E4"/>
    <mergeCell ref="D5:E6"/>
    <mergeCell ref="G4:O4"/>
  </mergeCells>
  <conditionalFormatting sqref="O10:O22">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2"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style="27" customWidth="1"/>
  </cols>
  <sheetData>
    <row r="1" spans="1:16" ht="31.95" customHeight="1">
      <c r="A1" s="66" t="s">
        <v>1131</v>
      </c>
      <c r="B1" s="67"/>
      <c r="C1" s="67"/>
      <c r="D1" s="67"/>
      <c r="E1" s="67"/>
      <c r="F1" s="67"/>
      <c r="G1" s="67"/>
      <c r="H1" s="67"/>
      <c r="I1" s="67"/>
      <c r="J1" s="67"/>
      <c r="K1" s="67"/>
      <c r="L1" s="67"/>
      <c r="M1" s="67"/>
      <c r="N1" s="67"/>
      <c r="O1" s="67"/>
    </row>
    <row r="2" spans="1:16" ht="31.95" customHeight="1">
      <c r="A2" s="75" t="s">
        <v>1132</v>
      </c>
      <c r="B2" s="67"/>
      <c r="C2" s="67"/>
      <c r="D2" s="67"/>
      <c r="E2" s="67"/>
      <c r="F2" s="67"/>
      <c r="G2" s="67"/>
      <c r="H2" s="67"/>
      <c r="I2" s="67"/>
      <c r="J2" s="67"/>
      <c r="K2" s="67"/>
      <c r="L2" s="67"/>
      <c r="M2" s="67"/>
      <c r="N2" s="67"/>
      <c r="O2" s="67"/>
    </row>
    <row r="4" spans="1:16" ht="28.05" customHeight="1">
      <c r="A4" s="71" t="s">
        <v>1020</v>
      </c>
      <c r="B4" s="73"/>
      <c r="D4" s="71" t="s">
        <v>1014</v>
      </c>
      <c r="E4" s="73"/>
      <c r="G4" s="71" t="s">
        <v>1029</v>
      </c>
      <c r="H4" s="72"/>
      <c r="I4" s="72"/>
      <c r="J4" s="72"/>
      <c r="K4" s="72"/>
      <c r="L4" s="72"/>
      <c r="M4" s="72"/>
      <c r="N4" s="72"/>
      <c r="O4" s="73"/>
    </row>
    <row r="5" spans="1:16">
      <c r="A5" s="84">
        <f>IF(COUNTA(O10:O40)=0,0,COUNTIF(O10:O40,"Done")/COUNTA(A10:A40))</f>
        <v>0.61904761904761907</v>
      </c>
      <c r="B5" s="62"/>
      <c r="D5" s="85">
        <f>COUNTIF(O10:O40,"Blocked")</f>
        <v>0</v>
      </c>
      <c r="E5" s="62"/>
      <c r="G5" s="82" t="s">
        <v>1133</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8" t="s">
        <v>22</v>
      </c>
    </row>
    <row r="10" spans="1:16" ht="110.4" customHeight="1">
      <c r="A10" s="10" t="s">
        <v>498</v>
      </c>
      <c r="B10" s="10">
        <v>1</v>
      </c>
      <c r="C10" s="10" t="s">
        <v>25</v>
      </c>
      <c r="D10" s="10" t="s">
        <v>500</v>
      </c>
      <c r="E10" s="10" t="s">
        <v>501</v>
      </c>
      <c r="F10" s="10" t="s">
        <v>502</v>
      </c>
      <c r="G10" s="10" t="s">
        <v>60</v>
      </c>
      <c r="H10" s="15">
        <v>1.5</v>
      </c>
      <c r="I10" s="10" t="s">
        <v>503</v>
      </c>
      <c r="J10" s="10" t="s">
        <v>281</v>
      </c>
      <c r="K10" s="10" t="s">
        <v>504</v>
      </c>
      <c r="L10" s="10" t="s">
        <v>505</v>
      </c>
      <c r="M10" s="10" t="s">
        <v>507</v>
      </c>
      <c r="N10" s="10" t="s">
        <v>509</v>
      </c>
      <c r="O10" s="10" t="s">
        <v>39</v>
      </c>
      <c r="P10" s="28" t="s">
        <v>510</v>
      </c>
    </row>
    <row r="11" spans="1:16" ht="110.4" customHeight="1">
      <c r="A11" s="11" t="s">
        <v>511</v>
      </c>
      <c r="B11" s="11">
        <v>2</v>
      </c>
      <c r="C11" s="11" t="s">
        <v>25</v>
      </c>
      <c r="D11" s="11" t="s">
        <v>278</v>
      </c>
      <c r="E11" s="11" t="s">
        <v>512</v>
      </c>
      <c r="F11" s="11" t="s">
        <v>513</v>
      </c>
      <c r="G11" s="11" t="s">
        <v>60</v>
      </c>
      <c r="H11" s="16">
        <v>1</v>
      </c>
      <c r="I11" s="11" t="s">
        <v>503</v>
      </c>
      <c r="J11" s="11" t="s">
        <v>281</v>
      </c>
      <c r="K11" s="11" t="s">
        <v>514</v>
      </c>
      <c r="L11" s="11" t="s">
        <v>515</v>
      </c>
      <c r="M11" s="11" t="s">
        <v>517</v>
      </c>
      <c r="N11" s="11" t="s">
        <v>518</v>
      </c>
      <c r="O11" s="11" t="s">
        <v>39</v>
      </c>
      <c r="P11" s="28" t="s">
        <v>519</v>
      </c>
    </row>
    <row r="12" spans="1:16" ht="110.4" customHeight="1">
      <c r="A12" s="11" t="s">
        <v>520</v>
      </c>
      <c r="B12" s="11">
        <v>3</v>
      </c>
      <c r="C12" s="11" t="s">
        <v>25</v>
      </c>
      <c r="D12" s="11" t="s">
        <v>521</v>
      </c>
      <c r="E12" s="11" t="s">
        <v>522</v>
      </c>
      <c r="F12" s="11" t="s">
        <v>523</v>
      </c>
      <c r="G12" s="11" t="s">
        <v>60</v>
      </c>
      <c r="H12" s="16">
        <v>1.25</v>
      </c>
      <c r="I12" s="11" t="s">
        <v>524</v>
      </c>
      <c r="J12" s="11" t="s">
        <v>481</v>
      </c>
      <c r="K12" s="11" t="s">
        <v>525</v>
      </c>
      <c r="L12" s="11" t="s">
        <v>526</v>
      </c>
      <c r="M12" s="11" t="s">
        <v>528</v>
      </c>
      <c r="N12" s="11" t="s">
        <v>530</v>
      </c>
      <c r="O12" s="11" t="s">
        <v>39</v>
      </c>
      <c r="P12" s="28" t="s">
        <v>531</v>
      </c>
    </row>
    <row r="13" spans="1:16" ht="110.4" customHeight="1">
      <c r="A13" s="11" t="s">
        <v>532</v>
      </c>
      <c r="B13" s="11">
        <v>4</v>
      </c>
      <c r="C13" s="11" t="s">
        <v>25</v>
      </c>
      <c r="D13" s="11" t="s">
        <v>533</v>
      </c>
      <c r="E13" s="11" t="s">
        <v>534</v>
      </c>
      <c r="F13" s="11" t="s">
        <v>535</v>
      </c>
      <c r="G13" s="11" t="s">
        <v>60</v>
      </c>
      <c r="H13" s="16">
        <v>0.75</v>
      </c>
      <c r="I13" s="11" t="s">
        <v>524</v>
      </c>
      <c r="J13" s="11" t="s">
        <v>37</v>
      </c>
      <c r="K13" s="11" t="s">
        <v>536</v>
      </c>
      <c r="L13" s="11" t="s">
        <v>537</v>
      </c>
      <c r="M13" s="11" t="s">
        <v>539</v>
      </c>
      <c r="N13" s="11" t="s">
        <v>540</v>
      </c>
      <c r="O13" s="11" t="s">
        <v>39</v>
      </c>
      <c r="P13" s="28" t="s">
        <v>541</v>
      </c>
    </row>
    <row r="14" spans="1:16" ht="110.4" customHeight="1">
      <c r="A14" s="11" t="s">
        <v>542</v>
      </c>
      <c r="B14" s="11">
        <v>5</v>
      </c>
      <c r="C14" s="11" t="s">
        <v>25</v>
      </c>
      <c r="D14" s="11" t="s">
        <v>543</v>
      </c>
      <c r="E14" s="11" t="s">
        <v>544</v>
      </c>
      <c r="F14" s="11" t="s">
        <v>545</v>
      </c>
      <c r="G14" s="11" t="s">
        <v>60</v>
      </c>
      <c r="H14" s="16">
        <v>1.25</v>
      </c>
      <c r="I14" s="11" t="s">
        <v>524</v>
      </c>
      <c r="J14" s="11" t="s">
        <v>481</v>
      </c>
      <c r="K14" s="11" t="s">
        <v>546</v>
      </c>
      <c r="L14" s="11" t="s">
        <v>547</v>
      </c>
      <c r="M14" s="11" t="s">
        <v>549</v>
      </c>
      <c r="N14" s="11" t="s">
        <v>552</v>
      </c>
      <c r="O14" s="11" t="s">
        <v>39</v>
      </c>
      <c r="P14" s="28" t="s">
        <v>553</v>
      </c>
    </row>
    <row r="15" spans="1:16" ht="110.4" customHeight="1">
      <c r="A15" s="11" t="s">
        <v>554</v>
      </c>
      <c r="B15" s="11">
        <v>6</v>
      </c>
      <c r="C15" s="11" t="s">
        <v>25</v>
      </c>
      <c r="D15" s="11" t="s">
        <v>555</v>
      </c>
      <c r="E15" s="11" t="s">
        <v>556</v>
      </c>
      <c r="F15" s="11" t="s">
        <v>557</v>
      </c>
      <c r="G15" s="11" t="s">
        <v>60</v>
      </c>
      <c r="H15" s="16">
        <v>1</v>
      </c>
      <c r="I15" s="11" t="s">
        <v>524</v>
      </c>
      <c r="J15" s="11" t="s">
        <v>558</v>
      </c>
      <c r="K15" s="11" t="s">
        <v>559</v>
      </c>
      <c r="L15" s="11" t="s">
        <v>560</v>
      </c>
      <c r="M15" s="11" t="s">
        <v>562</v>
      </c>
      <c r="N15" s="11" t="s">
        <v>563</v>
      </c>
      <c r="O15" s="11" t="s">
        <v>39</v>
      </c>
      <c r="P15" s="28" t="s">
        <v>564</v>
      </c>
    </row>
    <row r="16" spans="1:16" ht="110.4" customHeight="1">
      <c r="A16" s="11" t="s">
        <v>565</v>
      </c>
      <c r="B16" s="11">
        <v>7</v>
      </c>
      <c r="C16" s="11" t="s">
        <v>25</v>
      </c>
      <c r="D16" s="11" t="s">
        <v>566</v>
      </c>
      <c r="E16" s="11" t="s">
        <v>567</v>
      </c>
      <c r="F16" s="11" t="s">
        <v>568</v>
      </c>
      <c r="G16" s="11" t="s">
        <v>60</v>
      </c>
      <c r="H16" s="16">
        <v>0.75</v>
      </c>
      <c r="I16" s="11" t="s">
        <v>524</v>
      </c>
      <c r="J16" s="11" t="s">
        <v>569</v>
      </c>
      <c r="K16" s="11" t="s">
        <v>570</v>
      </c>
      <c r="L16" s="11" t="s">
        <v>571</v>
      </c>
      <c r="M16" s="11" t="s">
        <v>573</v>
      </c>
      <c r="N16" s="11" t="s">
        <v>574</v>
      </c>
      <c r="O16" s="11" t="s">
        <v>39</v>
      </c>
      <c r="P16" s="28" t="s">
        <v>575</v>
      </c>
    </row>
    <row r="17" spans="1:16" ht="110.4" customHeight="1">
      <c r="A17" s="11" t="s">
        <v>576</v>
      </c>
      <c r="B17" s="11">
        <v>8</v>
      </c>
      <c r="C17" s="11" t="s">
        <v>25</v>
      </c>
      <c r="D17" s="11" t="s">
        <v>577</v>
      </c>
      <c r="E17" s="11" t="s">
        <v>578</v>
      </c>
      <c r="F17" s="11" t="s">
        <v>579</v>
      </c>
      <c r="G17" s="11" t="s">
        <v>60</v>
      </c>
      <c r="H17" s="16">
        <v>1</v>
      </c>
      <c r="I17" s="11" t="s">
        <v>445</v>
      </c>
      <c r="J17" s="11" t="s">
        <v>446</v>
      </c>
      <c r="K17" s="11" t="s">
        <v>580</v>
      </c>
      <c r="L17" s="11" t="s">
        <v>581</v>
      </c>
      <c r="M17" s="11" t="s">
        <v>583</v>
      </c>
      <c r="N17" s="11" t="s">
        <v>585</v>
      </c>
      <c r="O17" s="11" t="s">
        <v>39</v>
      </c>
      <c r="P17" s="28" t="s">
        <v>586</v>
      </c>
    </row>
    <row r="18" spans="1:16" ht="110.4" customHeight="1">
      <c r="A18" s="11" t="s">
        <v>587</v>
      </c>
      <c r="B18" s="11">
        <v>9</v>
      </c>
      <c r="C18" s="11" t="s">
        <v>25</v>
      </c>
      <c r="D18" s="11" t="s">
        <v>588</v>
      </c>
      <c r="E18" s="11" t="s">
        <v>589</v>
      </c>
      <c r="F18" s="11" t="s">
        <v>590</v>
      </c>
      <c r="G18" s="11" t="s">
        <v>60</v>
      </c>
      <c r="H18" s="16">
        <v>1</v>
      </c>
      <c r="I18" s="11" t="s">
        <v>524</v>
      </c>
      <c r="J18" s="11" t="s">
        <v>37</v>
      </c>
      <c r="K18" s="11" t="s">
        <v>591</v>
      </c>
      <c r="L18" s="11" t="s">
        <v>592</v>
      </c>
      <c r="M18" s="11" t="s">
        <v>594</v>
      </c>
      <c r="N18" s="11" t="s">
        <v>597</v>
      </c>
      <c r="O18" s="11" t="s">
        <v>39</v>
      </c>
      <c r="P18" s="28" t="s">
        <v>598</v>
      </c>
    </row>
    <row r="19" spans="1:16" ht="110.4" customHeight="1">
      <c r="A19" s="11" t="s">
        <v>599</v>
      </c>
      <c r="B19" s="11">
        <v>10</v>
      </c>
      <c r="C19" s="11" t="s">
        <v>314</v>
      </c>
      <c r="D19" s="11" t="s">
        <v>600</v>
      </c>
      <c r="E19" s="11" t="s">
        <v>601</v>
      </c>
      <c r="F19" s="11" t="s">
        <v>602</v>
      </c>
      <c r="G19" s="11" t="s">
        <v>60</v>
      </c>
      <c r="H19" s="16">
        <v>0.75</v>
      </c>
      <c r="I19" s="11" t="s">
        <v>503</v>
      </c>
      <c r="J19" s="11" t="s">
        <v>558</v>
      </c>
      <c r="K19" s="11" t="s">
        <v>603</v>
      </c>
      <c r="L19" s="11" t="s">
        <v>604</v>
      </c>
      <c r="M19" s="11" t="s">
        <v>606</v>
      </c>
      <c r="N19" s="11" t="s">
        <v>609</v>
      </c>
      <c r="O19" s="11" t="s">
        <v>39</v>
      </c>
      <c r="P19" s="28" t="s">
        <v>610</v>
      </c>
    </row>
    <row r="20" spans="1:16" ht="193.8" customHeight="1">
      <c r="A20" s="11" t="s">
        <v>611</v>
      </c>
      <c r="B20" s="11">
        <v>11</v>
      </c>
      <c r="C20" s="11" t="s">
        <v>25</v>
      </c>
      <c r="D20" s="11" t="s">
        <v>612</v>
      </c>
      <c r="E20" s="11" t="s">
        <v>613</v>
      </c>
      <c r="F20" s="11" t="s">
        <v>614</v>
      </c>
      <c r="G20" s="11" t="s">
        <v>46</v>
      </c>
      <c r="H20" s="16">
        <v>1</v>
      </c>
      <c r="I20" s="11" t="s">
        <v>615</v>
      </c>
      <c r="J20" s="11" t="s">
        <v>37</v>
      </c>
      <c r="K20" s="11" t="s">
        <v>616</v>
      </c>
      <c r="L20" s="11" t="s">
        <v>617</v>
      </c>
      <c r="M20" s="11" t="s">
        <v>619</v>
      </c>
      <c r="N20" s="11" t="s">
        <v>621</v>
      </c>
      <c r="O20" s="11" t="s">
        <v>39</v>
      </c>
      <c r="P20" s="28" t="s">
        <v>622</v>
      </c>
    </row>
    <row r="21" spans="1:16" ht="193.8" customHeight="1">
      <c r="A21" s="11" t="s">
        <v>623</v>
      </c>
      <c r="B21" s="11">
        <v>12</v>
      </c>
      <c r="C21" s="11" t="s">
        <v>25</v>
      </c>
      <c r="D21" s="11" t="s">
        <v>168</v>
      </c>
      <c r="E21" s="11" t="s">
        <v>624</v>
      </c>
      <c r="F21" s="11" t="s">
        <v>625</v>
      </c>
      <c r="G21" s="11" t="s">
        <v>29</v>
      </c>
      <c r="H21" s="16">
        <v>0.75</v>
      </c>
      <c r="I21" s="11" t="s">
        <v>626</v>
      </c>
      <c r="J21" s="11" t="s">
        <v>627</v>
      </c>
      <c r="K21" s="11" t="s">
        <v>628</v>
      </c>
      <c r="L21" s="11" t="s">
        <v>629</v>
      </c>
      <c r="M21" s="11" t="s">
        <v>631</v>
      </c>
      <c r="N21" s="11" t="s">
        <v>633</v>
      </c>
      <c r="O21" s="11" t="s">
        <v>39</v>
      </c>
      <c r="P21" s="28" t="s">
        <v>634</v>
      </c>
    </row>
    <row r="22" spans="1:16" ht="82.8" customHeight="1">
      <c r="A22" t="s">
        <v>635</v>
      </c>
      <c r="B22">
        <v>13</v>
      </c>
      <c r="C22" t="s">
        <v>25</v>
      </c>
      <c r="D22" t="s">
        <v>182</v>
      </c>
      <c r="E22" t="s">
        <v>636</v>
      </c>
      <c r="F22" t="s">
        <v>637</v>
      </c>
      <c r="G22" t="s">
        <v>46</v>
      </c>
      <c r="H22">
        <v>1</v>
      </c>
      <c r="I22" t="s">
        <v>185</v>
      </c>
      <c r="J22" t="s">
        <v>37</v>
      </c>
      <c r="K22" t="s">
        <v>638</v>
      </c>
      <c r="L22" t="s">
        <v>639</v>
      </c>
      <c r="M22" t="s">
        <v>640</v>
      </c>
      <c r="N22" t="s">
        <v>191</v>
      </c>
      <c r="O22" s="11" t="s">
        <v>39</v>
      </c>
      <c r="P22" s="28" t="s">
        <v>643</v>
      </c>
    </row>
    <row r="23" spans="1:16" ht="24" customHeight="1">
      <c r="A23" s="83"/>
      <c r="B23" s="67"/>
      <c r="C23" s="67"/>
      <c r="D23" s="67"/>
      <c r="E23" s="67"/>
      <c r="F23" s="67"/>
      <c r="G23" s="67"/>
      <c r="H23" s="67"/>
      <c r="I23" s="67"/>
      <c r="J23" s="67"/>
      <c r="K23" s="67"/>
      <c r="L23" s="67"/>
      <c r="M23" s="67"/>
      <c r="N23" s="67"/>
      <c r="O23" s="67"/>
    </row>
    <row r="24" spans="1:16" ht="34.049999999999997" customHeight="1">
      <c r="A24" s="30" t="s">
        <v>1040</v>
      </c>
      <c r="B24" s="30"/>
      <c r="C24" s="30"/>
      <c r="D24" s="30"/>
      <c r="E24" s="30"/>
      <c r="F24" s="30"/>
      <c r="G24" s="30"/>
      <c r="H24" s="31"/>
      <c r="I24" s="31"/>
      <c r="J24" s="31"/>
      <c r="K24" s="31"/>
      <c r="L24" s="31"/>
      <c r="M24" s="31"/>
      <c r="N24" s="31"/>
      <c r="O24" s="31"/>
      <c r="P24" s="56"/>
    </row>
    <row r="25" spans="1:16" ht="48" customHeight="1">
      <c r="A25" s="33" t="s">
        <v>1041</v>
      </c>
      <c r="B25" s="33" t="s">
        <v>11</v>
      </c>
      <c r="C25" s="33" t="s">
        <v>1042</v>
      </c>
      <c r="D25" s="33" t="s">
        <v>1043</v>
      </c>
      <c r="E25" s="33" t="s">
        <v>1044</v>
      </c>
      <c r="F25" s="33" t="s">
        <v>1045</v>
      </c>
      <c r="G25" s="33" t="s">
        <v>1046</v>
      </c>
    </row>
    <row r="26" spans="1:16" ht="52.05" customHeight="1">
      <c r="A26" s="22">
        <v>1</v>
      </c>
      <c r="B26" s="22" t="s">
        <v>503</v>
      </c>
      <c r="C26" s="22" t="s">
        <v>1134</v>
      </c>
      <c r="D26" s="22" t="s">
        <v>1135</v>
      </c>
      <c r="E26" s="22" t="s">
        <v>1136</v>
      </c>
      <c r="F26" s="22" t="s">
        <v>1137</v>
      </c>
      <c r="G26" s="22" t="s">
        <v>1060</v>
      </c>
    </row>
    <row r="27" spans="1:16" ht="52.05" customHeight="1">
      <c r="A27" s="34">
        <v>2</v>
      </c>
      <c r="B27" s="34" t="s">
        <v>524</v>
      </c>
      <c r="C27" s="34" t="s">
        <v>1138</v>
      </c>
      <c r="D27" s="34" t="s">
        <v>1139</v>
      </c>
      <c r="E27" s="34" t="s">
        <v>1140</v>
      </c>
      <c r="F27" s="34" t="s">
        <v>1141</v>
      </c>
      <c r="G27" s="34" t="s">
        <v>1060</v>
      </c>
    </row>
    <row r="28" spans="1:16" ht="52.05" customHeight="1">
      <c r="A28" s="22">
        <v>3</v>
      </c>
      <c r="B28" s="22" t="s">
        <v>445</v>
      </c>
      <c r="C28" s="22" t="s">
        <v>1142</v>
      </c>
      <c r="D28" s="22" t="s">
        <v>1143</v>
      </c>
      <c r="E28" s="22" t="s">
        <v>1144</v>
      </c>
      <c r="F28" s="22" t="s">
        <v>1145</v>
      </c>
      <c r="G28" s="22" t="s">
        <v>1060</v>
      </c>
    </row>
    <row r="29" spans="1:16" ht="52.05" customHeight="1">
      <c r="A29" s="34">
        <v>4</v>
      </c>
      <c r="B29" s="34" t="s">
        <v>615</v>
      </c>
      <c r="C29" s="34" t="s">
        <v>1146</v>
      </c>
      <c r="D29" s="34" t="s">
        <v>1147</v>
      </c>
      <c r="E29" s="34" t="s">
        <v>1148</v>
      </c>
      <c r="F29" s="34" t="s">
        <v>1149</v>
      </c>
      <c r="G29" s="34" t="s">
        <v>1060</v>
      </c>
    </row>
    <row r="30" spans="1:16" ht="52.05" customHeight="1">
      <c r="A30" s="35">
        <v>5</v>
      </c>
      <c r="B30" s="35" t="s">
        <v>626</v>
      </c>
      <c r="C30" s="35" t="s">
        <v>1073</v>
      </c>
      <c r="D30" s="35" t="s">
        <v>1074</v>
      </c>
      <c r="E30" s="35" t="s">
        <v>1150</v>
      </c>
      <c r="F30" s="35" t="s">
        <v>631</v>
      </c>
      <c r="G30" s="35" t="s">
        <v>1051</v>
      </c>
    </row>
    <row r="31" spans="1:16" ht="52.05" customHeight="1">
      <c r="A31" s="35">
        <v>6</v>
      </c>
      <c r="B31" s="35" t="s">
        <v>185</v>
      </c>
      <c r="C31" s="35" t="s">
        <v>1151</v>
      </c>
      <c r="D31" s="35" t="s">
        <v>1077</v>
      </c>
      <c r="E31" s="35" t="s">
        <v>1078</v>
      </c>
      <c r="F31" s="35" t="s">
        <v>1152</v>
      </c>
      <c r="G31" s="35" t="s">
        <v>1080</v>
      </c>
    </row>
  </sheetData>
  <mergeCells count="9">
    <mergeCell ref="A4:B4"/>
    <mergeCell ref="A2:O2"/>
    <mergeCell ref="G5:O6"/>
    <mergeCell ref="A1:O1"/>
    <mergeCell ref="A23:O23"/>
    <mergeCell ref="A5:B6"/>
    <mergeCell ref="D4:E4"/>
    <mergeCell ref="D5:E6"/>
    <mergeCell ref="G4:O4"/>
  </mergeCells>
  <conditionalFormatting sqref="O10:O22">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2"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topLeftCell="K21" workbookViewId="0">
      <selection activeCell="N22" sqref="N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6" t="s">
        <v>1153</v>
      </c>
      <c r="B1" s="67"/>
      <c r="C1" s="67"/>
      <c r="D1" s="67"/>
      <c r="E1" s="67"/>
      <c r="F1" s="67"/>
      <c r="G1" s="67"/>
      <c r="H1" s="67"/>
      <c r="I1" s="67"/>
      <c r="J1" s="67"/>
      <c r="K1" s="67"/>
      <c r="L1" s="67"/>
      <c r="M1" s="67"/>
      <c r="N1" s="67"/>
      <c r="O1" s="67"/>
    </row>
    <row r="2" spans="1:16" ht="31.95" customHeight="1">
      <c r="A2" s="75" t="s">
        <v>1154</v>
      </c>
      <c r="B2" s="67"/>
      <c r="C2" s="67"/>
      <c r="D2" s="67"/>
      <c r="E2" s="67"/>
      <c r="F2" s="67"/>
      <c r="G2" s="67"/>
      <c r="H2" s="67"/>
      <c r="I2" s="67"/>
      <c r="J2" s="67"/>
      <c r="K2" s="67"/>
      <c r="L2" s="67"/>
      <c r="M2" s="67"/>
      <c r="N2" s="67"/>
      <c r="O2" s="67"/>
    </row>
    <row r="4" spans="1:16" ht="28.05" customHeight="1">
      <c r="A4" s="71" t="s">
        <v>1020</v>
      </c>
      <c r="B4" s="73"/>
      <c r="D4" s="71" t="s">
        <v>1014</v>
      </c>
      <c r="E4" s="73"/>
      <c r="G4" s="71" t="s">
        <v>1029</v>
      </c>
      <c r="H4" s="72"/>
      <c r="I4" s="72"/>
      <c r="J4" s="72"/>
      <c r="K4" s="72"/>
      <c r="L4" s="72"/>
      <c r="M4" s="72"/>
      <c r="N4" s="72"/>
      <c r="O4" s="73"/>
    </row>
    <row r="5" spans="1:16">
      <c r="A5" s="84">
        <f>IF(COUNTA(O10:O40)=0,0,COUNTIF(O10:O40,"Done")/COUNTA(A10:A40))</f>
        <v>0.60869565217391308</v>
      </c>
      <c r="B5" s="62"/>
      <c r="D5" s="85">
        <f>COUNTIF(O10:O40,"Blocked")</f>
        <v>0</v>
      </c>
      <c r="E5" s="62"/>
      <c r="G5" s="82" t="s">
        <v>1155</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9" t="s">
        <v>22</v>
      </c>
    </row>
    <row r="10" spans="1:16" ht="96.6" customHeight="1">
      <c r="A10" s="10" t="s">
        <v>644</v>
      </c>
      <c r="B10" s="10">
        <v>1</v>
      </c>
      <c r="C10" s="10" t="s">
        <v>25</v>
      </c>
      <c r="D10" s="10" t="s">
        <v>646</v>
      </c>
      <c r="E10" s="10" t="s">
        <v>647</v>
      </c>
      <c r="F10" s="10" t="s">
        <v>648</v>
      </c>
      <c r="G10" s="10" t="s">
        <v>29</v>
      </c>
      <c r="H10" s="15">
        <v>1</v>
      </c>
      <c r="I10" s="10" t="s">
        <v>649</v>
      </c>
      <c r="J10" s="10" t="s">
        <v>650</v>
      </c>
      <c r="K10" s="10" t="s">
        <v>651</v>
      </c>
      <c r="L10" s="10" t="s">
        <v>652</v>
      </c>
      <c r="M10" s="10" t="s">
        <v>654</v>
      </c>
      <c r="N10" s="10" t="s">
        <v>655</v>
      </c>
      <c r="O10" s="10" t="s">
        <v>39</v>
      </c>
      <c r="P10" s="29" t="s">
        <v>657</v>
      </c>
    </row>
    <row r="11" spans="1:16" ht="409.6" customHeight="1">
      <c r="A11" s="11" t="s">
        <v>658</v>
      </c>
      <c r="B11" s="11">
        <v>2</v>
      </c>
      <c r="C11" s="11" t="s">
        <v>25</v>
      </c>
      <c r="D11" s="11" t="s">
        <v>659</v>
      </c>
      <c r="E11" s="11" t="s">
        <v>660</v>
      </c>
      <c r="F11" s="11" t="s">
        <v>661</v>
      </c>
      <c r="G11" s="11" t="s">
        <v>60</v>
      </c>
      <c r="H11" s="16">
        <v>1.25</v>
      </c>
      <c r="I11" s="11" t="s">
        <v>662</v>
      </c>
      <c r="J11" s="11" t="s">
        <v>663</v>
      </c>
      <c r="K11" s="11" t="s">
        <v>664</v>
      </c>
      <c r="L11" s="11" t="s">
        <v>665</v>
      </c>
      <c r="M11" s="11" t="s">
        <v>667</v>
      </c>
      <c r="N11" s="11" t="s">
        <v>668</v>
      </c>
      <c r="O11" s="11" t="s">
        <v>39</v>
      </c>
      <c r="P11" s="29" t="s">
        <v>670</v>
      </c>
    </row>
    <row r="12" spans="1:16" ht="193.8" customHeight="1">
      <c r="A12" s="11" t="s">
        <v>671</v>
      </c>
      <c r="B12" s="11">
        <v>3</v>
      </c>
      <c r="C12" s="11" t="s">
        <v>25</v>
      </c>
      <c r="D12" s="11" t="s">
        <v>672</v>
      </c>
      <c r="E12" s="11" t="s">
        <v>673</v>
      </c>
      <c r="F12" s="11" t="s">
        <v>674</v>
      </c>
      <c r="G12" s="11" t="s">
        <v>60</v>
      </c>
      <c r="H12" s="16">
        <v>1.25</v>
      </c>
      <c r="I12" s="11" t="s">
        <v>662</v>
      </c>
      <c r="J12" s="11" t="s">
        <v>675</v>
      </c>
      <c r="K12" s="11" t="s">
        <v>676</v>
      </c>
      <c r="L12" s="11" t="s">
        <v>677</v>
      </c>
      <c r="M12" s="11" t="s">
        <v>679</v>
      </c>
      <c r="N12" s="11" t="s">
        <v>682</v>
      </c>
      <c r="O12" s="11" t="s">
        <v>39</v>
      </c>
      <c r="P12" s="29" t="s">
        <v>683</v>
      </c>
    </row>
    <row r="13" spans="1:16" ht="193.8" customHeight="1">
      <c r="A13" s="11" t="s">
        <v>684</v>
      </c>
      <c r="B13" s="11">
        <v>4</v>
      </c>
      <c r="C13" s="11" t="s">
        <v>25</v>
      </c>
      <c r="D13" s="11" t="s">
        <v>685</v>
      </c>
      <c r="E13" s="11" t="s">
        <v>686</v>
      </c>
      <c r="F13" s="11" t="s">
        <v>687</v>
      </c>
      <c r="G13" s="11" t="s">
        <v>60</v>
      </c>
      <c r="H13" s="16">
        <v>1.25</v>
      </c>
      <c r="I13" s="11" t="s">
        <v>662</v>
      </c>
      <c r="J13" s="11" t="s">
        <v>688</v>
      </c>
      <c r="K13" s="11" t="s">
        <v>689</v>
      </c>
      <c r="L13" s="11" t="s">
        <v>690</v>
      </c>
      <c r="M13" s="11" t="s">
        <v>692</v>
      </c>
      <c r="N13" s="11" t="s">
        <v>694</v>
      </c>
      <c r="O13" s="11" t="s">
        <v>39</v>
      </c>
      <c r="P13" s="29" t="s">
        <v>695</v>
      </c>
    </row>
    <row r="14" spans="1:16" ht="110.4" customHeight="1">
      <c r="A14" s="11" t="s">
        <v>696</v>
      </c>
      <c r="B14" s="11">
        <v>5</v>
      </c>
      <c r="C14" s="11" t="s">
        <v>25</v>
      </c>
      <c r="D14" s="11" t="s">
        <v>697</v>
      </c>
      <c r="E14" s="11" t="s">
        <v>698</v>
      </c>
      <c r="F14" s="11" t="s">
        <v>699</v>
      </c>
      <c r="G14" s="11" t="s">
        <v>60</v>
      </c>
      <c r="H14" s="16">
        <v>1.5</v>
      </c>
      <c r="I14" s="11" t="s">
        <v>662</v>
      </c>
      <c r="J14" s="11" t="s">
        <v>700</v>
      </c>
      <c r="K14" s="11" t="s">
        <v>701</v>
      </c>
      <c r="L14" s="11" t="s">
        <v>702</v>
      </c>
      <c r="M14" s="11" t="s">
        <v>704</v>
      </c>
      <c r="N14" s="11" t="s">
        <v>707</v>
      </c>
      <c r="O14" s="11" t="s">
        <v>39</v>
      </c>
      <c r="P14" s="29" t="s">
        <v>708</v>
      </c>
    </row>
    <row r="15" spans="1:16" ht="193.8" customHeight="1">
      <c r="A15" s="11" t="s">
        <v>709</v>
      </c>
      <c r="B15" s="11">
        <v>6</v>
      </c>
      <c r="C15" s="11" t="s">
        <v>25</v>
      </c>
      <c r="D15" s="11" t="s">
        <v>710</v>
      </c>
      <c r="E15" s="11" t="s">
        <v>711</v>
      </c>
      <c r="F15" s="11" t="s">
        <v>712</v>
      </c>
      <c r="G15" s="11" t="s">
        <v>60</v>
      </c>
      <c r="H15" s="16">
        <v>1</v>
      </c>
      <c r="I15" s="11" t="s">
        <v>713</v>
      </c>
      <c r="J15" s="11" t="s">
        <v>714</v>
      </c>
      <c r="K15" s="11" t="s">
        <v>715</v>
      </c>
      <c r="L15" s="11" t="s">
        <v>716</v>
      </c>
      <c r="M15" s="11" t="s">
        <v>718</v>
      </c>
      <c r="N15" s="11" t="s">
        <v>721</v>
      </c>
      <c r="O15" s="11" t="s">
        <v>39</v>
      </c>
      <c r="P15" s="29" t="s">
        <v>722</v>
      </c>
    </row>
    <row r="16" spans="1:16" ht="124.2" customHeight="1">
      <c r="A16" s="11" t="s">
        <v>723</v>
      </c>
      <c r="B16" s="11">
        <v>7</v>
      </c>
      <c r="C16" s="11" t="s">
        <v>25</v>
      </c>
      <c r="D16" s="11" t="s">
        <v>724</v>
      </c>
      <c r="E16" s="11" t="s">
        <v>725</v>
      </c>
      <c r="F16" s="11" t="s">
        <v>726</v>
      </c>
      <c r="G16" s="11" t="s">
        <v>60</v>
      </c>
      <c r="H16" s="16">
        <v>1.5</v>
      </c>
      <c r="I16" s="11" t="s">
        <v>727</v>
      </c>
      <c r="J16" s="11" t="s">
        <v>728</v>
      </c>
      <c r="K16" s="11" t="s">
        <v>729</v>
      </c>
      <c r="L16" s="11" t="s">
        <v>730</v>
      </c>
      <c r="M16" s="11" t="s">
        <v>732</v>
      </c>
      <c r="N16" s="11" t="s">
        <v>734</v>
      </c>
      <c r="O16" s="11" t="s">
        <v>39</v>
      </c>
      <c r="P16" s="29" t="s">
        <v>735</v>
      </c>
    </row>
    <row r="17" spans="1:16" ht="193.8" customHeight="1">
      <c r="A17" s="11" t="s">
        <v>736</v>
      </c>
      <c r="B17" s="11">
        <v>8</v>
      </c>
      <c r="C17" s="11" t="s">
        <v>25</v>
      </c>
      <c r="D17" s="11" t="s">
        <v>737</v>
      </c>
      <c r="E17" s="11" t="s">
        <v>738</v>
      </c>
      <c r="F17" s="11" t="s">
        <v>739</v>
      </c>
      <c r="G17" s="11" t="s">
        <v>60</v>
      </c>
      <c r="H17" s="16">
        <v>1</v>
      </c>
      <c r="I17" s="11" t="s">
        <v>727</v>
      </c>
      <c r="J17" s="11" t="s">
        <v>37</v>
      </c>
      <c r="K17" s="11" t="s">
        <v>740</v>
      </c>
      <c r="L17" s="11" t="s">
        <v>741</v>
      </c>
      <c r="M17" s="11" t="s">
        <v>743</v>
      </c>
      <c r="N17" s="11" t="s">
        <v>744</v>
      </c>
      <c r="O17" s="11" t="s">
        <v>39</v>
      </c>
      <c r="P17" s="29" t="s">
        <v>745</v>
      </c>
    </row>
    <row r="18" spans="1:16" ht="110.4" customHeight="1">
      <c r="A18" s="11" t="s">
        <v>746</v>
      </c>
      <c r="B18" s="11">
        <v>9</v>
      </c>
      <c r="C18" s="11" t="s">
        <v>25</v>
      </c>
      <c r="D18" s="11" t="s">
        <v>747</v>
      </c>
      <c r="E18" s="11" t="s">
        <v>748</v>
      </c>
      <c r="F18" s="11" t="s">
        <v>749</v>
      </c>
      <c r="G18" s="11" t="s">
        <v>46</v>
      </c>
      <c r="H18" s="16">
        <v>1</v>
      </c>
      <c r="I18" s="11" t="s">
        <v>750</v>
      </c>
      <c r="J18" s="11" t="s">
        <v>558</v>
      </c>
      <c r="K18" s="11" t="s">
        <v>751</v>
      </c>
      <c r="L18" s="11" t="s">
        <v>752</v>
      </c>
      <c r="M18" s="11" t="s">
        <v>754</v>
      </c>
      <c r="N18" s="11" t="s">
        <v>756</v>
      </c>
      <c r="O18" s="11" t="s">
        <v>39</v>
      </c>
      <c r="P18" s="29" t="s">
        <v>757</v>
      </c>
    </row>
    <row r="19" spans="1:16" ht="124.2" customHeight="1">
      <c r="A19" s="11" t="s">
        <v>758</v>
      </c>
      <c r="B19" s="11">
        <v>10</v>
      </c>
      <c r="C19" s="11" t="s">
        <v>25</v>
      </c>
      <c r="D19" s="11" t="s">
        <v>759</v>
      </c>
      <c r="E19" s="11" t="s">
        <v>760</v>
      </c>
      <c r="F19" s="11" t="s">
        <v>761</v>
      </c>
      <c r="G19" s="11" t="s">
        <v>29</v>
      </c>
      <c r="H19" s="16">
        <v>1.5</v>
      </c>
      <c r="I19" s="11" t="s">
        <v>750</v>
      </c>
      <c r="J19" s="11" t="s">
        <v>305</v>
      </c>
      <c r="K19" s="11" t="s">
        <v>762</v>
      </c>
      <c r="L19" s="11" t="s">
        <v>763</v>
      </c>
      <c r="M19" s="11" t="s">
        <v>765</v>
      </c>
      <c r="N19" s="11" t="s">
        <v>766</v>
      </c>
      <c r="O19" s="11" t="s">
        <v>39</v>
      </c>
      <c r="P19" s="29" t="s">
        <v>767</v>
      </c>
    </row>
    <row r="20" spans="1:16" ht="110.4" customHeight="1">
      <c r="A20" s="11" t="s">
        <v>768</v>
      </c>
      <c r="B20" s="11">
        <v>11</v>
      </c>
      <c r="C20" s="11" t="s">
        <v>25</v>
      </c>
      <c r="D20" s="11" t="s">
        <v>769</v>
      </c>
      <c r="E20" s="11" t="s">
        <v>770</v>
      </c>
      <c r="F20" s="11" t="s">
        <v>771</v>
      </c>
      <c r="G20" s="11" t="s">
        <v>46</v>
      </c>
      <c r="H20" s="16">
        <v>0.75</v>
      </c>
      <c r="I20" s="11" t="s">
        <v>750</v>
      </c>
      <c r="J20" s="11" t="s">
        <v>305</v>
      </c>
      <c r="K20" s="11" t="s">
        <v>772</v>
      </c>
      <c r="L20" s="11" t="s">
        <v>773</v>
      </c>
      <c r="M20" s="11" t="s">
        <v>775</v>
      </c>
      <c r="N20" s="11" t="s">
        <v>777</v>
      </c>
      <c r="O20" s="11" t="s">
        <v>39</v>
      </c>
      <c r="P20" s="29" t="s">
        <v>778</v>
      </c>
    </row>
    <row r="21" spans="1:16" ht="193.8" customHeight="1">
      <c r="A21" s="11" t="s">
        <v>779</v>
      </c>
      <c r="B21" s="11">
        <v>12</v>
      </c>
      <c r="C21" s="11" t="s">
        <v>25</v>
      </c>
      <c r="D21" s="11" t="s">
        <v>780</v>
      </c>
      <c r="E21" s="11" t="s">
        <v>781</v>
      </c>
      <c r="F21" s="11" t="s">
        <v>782</v>
      </c>
      <c r="G21" s="11" t="s">
        <v>46</v>
      </c>
      <c r="H21" s="16">
        <v>1</v>
      </c>
      <c r="I21" s="11" t="s">
        <v>750</v>
      </c>
      <c r="J21" s="11" t="s">
        <v>159</v>
      </c>
      <c r="K21" s="11" t="s">
        <v>783</v>
      </c>
      <c r="L21" s="11" t="s">
        <v>784</v>
      </c>
      <c r="M21" s="11" t="s">
        <v>786</v>
      </c>
      <c r="N21" s="11" t="s">
        <v>787</v>
      </c>
      <c r="O21" s="11" t="s">
        <v>39</v>
      </c>
      <c r="P21" s="29" t="s">
        <v>788</v>
      </c>
    </row>
    <row r="22" spans="1:16" ht="110.4" customHeight="1">
      <c r="A22" s="11" t="s">
        <v>789</v>
      </c>
      <c r="B22" s="11">
        <v>13</v>
      </c>
      <c r="C22" s="11" t="s">
        <v>25</v>
      </c>
      <c r="D22" s="11" t="s">
        <v>168</v>
      </c>
      <c r="E22" s="11" t="s">
        <v>790</v>
      </c>
      <c r="F22" s="11" t="s">
        <v>791</v>
      </c>
      <c r="G22" s="11" t="s">
        <v>29</v>
      </c>
      <c r="H22" s="16">
        <v>0.75</v>
      </c>
      <c r="I22" s="11" t="s">
        <v>792</v>
      </c>
      <c r="J22" s="11" t="s">
        <v>793</v>
      </c>
      <c r="K22" s="11" t="s">
        <v>794</v>
      </c>
      <c r="L22" s="11" t="s">
        <v>795</v>
      </c>
      <c r="M22" s="11" t="s">
        <v>797</v>
      </c>
      <c r="N22" s="11" t="s">
        <v>799</v>
      </c>
      <c r="O22" s="11" t="s">
        <v>39</v>
      </c>
      <c r="P22" s="29" t="s">
        <v>801</v>
      </c>
    </row>
    <row r="23" spans="1:16" ht="24" customHeight="1">
      <c r="A23" s="24" t="s">
        <v>802</v>
      </c>
      <c r="B23" s="24">
        <v>14</v>
      </c>
      <c r="C23" s="24" t="s">
        <v>25</v>
      </c>
      <c r="D23" s="24" t="s">
        <v>182</v>
      </c>
      <c r="E23" s="24" t="s">
        <v>803</v>
      </c>
      <c r="F23" s="24" t="s">
        <v>804</v>
      </c>
      <c r="G23" s="24" t="s">
        <v>46</v>
      </c>
      <c r="H23">
        <v>1</v>
      </c>
      <c r="I23" t="s">
        <v>185</v>
      </c>
      <c r="J23" t="s">
        <v>37</v>
      </c>
      <c r="K23" t="s">
        <v>805</v>
      </c>
      <c r="L23" t="s">
        <v>806</v>
      </c>
      <c r="M23" t="s">
        <v>807</v>
      </c>
      <c r="N23" t="s">
        <v>191</v>
      </c>
      <c r="O23" s="11" t="s">
        <v>39</v>
      </c>
      <c r="P23" s="29" t="s">
        <v>810</v>
      </c>
    </row>
    <row r="24" spans="1:16" ht="34.049999999999997" customHeight="1">
      <c r="A24" s="86"/>
      <c r="B24" s="72"/>
      <c r="C24" s="72"/>
      <c r="D24" s="72"/>
      <c r="E24" s="72"/>
      <c r="F24" s="72"/>
      <c r="G24" s="72"/>
      <c r="H24" s="72"/>
      <c r="I24" s="72"/>
      <c r="J24" s="72"/>
      <c r="K24" s="72"/>
      <c r="L24" s="72"/>
      <c r="M24" s="72"/>
      <c r="N24" s="72"/>
      <c r="O24" s="73"/>
    </row>
    <row r="25" spans="1:16" ht="48" customHeight="1">
      <c r="A25" s="32" t="s">
        <v>1040</v>
      </c>
      <c r="B25" s="32"/>
      <c r="C25" s="32"/>
      <c r="D25" s="32"/>
      <c r="E25" s="32"/>
      <c r="F25" s="32"/>
      <c r="G25" s="32"/>
      <c r="H25" s="31"/>
      <c r="I25" s="31"/>
      <c r="J25" s="31"/>
      <c r="K25" s="31"/>
      <c r="L25" s="31"/>
      <c r="M25" s="31"/>
      <c r="N25" s="31"/>
      <c r="O25" s="31"/>
      <c r="P25" s="31"/>
    </row>
    <row r="26" spans="1:16" ht="48" customHeight="1">
      <c r="A26" s="33" t="s">
        <v>1041</v>
      </c>
      <c r="B26" s="33" t="s">
        <v>11</v>
      </c>
      <c r="C26" s="33" t="s">
        <v>1042</v>
      </c>
      <c r="D26" s="33" t="s">
        <v>1043</v>
      </c>
      <c r="E26" s="33" t="s">
        <v>1044</v>
      </c>
      <c r="F26" s="33" t="s">
        <v>1045</v>
      </c>
      <c r="G26" s="33" t="s">
        <v>1046</v>
      </c>
    </row>
    <row r="27" spans="1:16" ht="52.05" customHeight="1">
      <c r="A27" s="34">
        <v>1</v>
      </c>
      <c r="B27" s="34" t="s">
        <v>649</v>
      </c>
      <c r="C27" s="34" t="s">
        <v>1156</v>
      </c>
      <c r="D27" s="34" t="s">
        <v>1157</v>
      </c>
      <c r="E27" s="34" t="s">
        <v>1158</v>
      </c>
      <c r="F27" s="34" t="s">
        <v>1159</v>
      </c>
      <c r="G27" s="34" t="s">
        <v>1051</v>
      </c>
    </row>
    <row r="28" spans="1:16" ht="52.05" customHeight="1">
      <c r="A28" s="22">
        <v>2</v>
      </c>
      <c r="B28" s="22" t="s">
        <v>662</v>
      </c>
      <c r="C28" s="22" t="s">
        <v>1160</v>
      </c>
      <c r="D28" s="22" t="s">
        <v>1161</v>
      </c>
      <c r="E28" s="22" t="s">
        <v>1162</v>
      </c>
      <c r="F28" s="22" t="s">
        <v>1163</v>
      </c>
      <c r="G28" s="22" t="s">
        <v>1060</v>
      </c>
    </row>
    <row r="29" spans="1:16" ht="52.05" customHeight="1">
      <c r="A29" s="34">
        <v>3</v>
      </c>
      <c r="B29" s="34" t="s">
        <v>727</v>
      </c>
      <c r="C29" s="34" t="s">
        <v>1164</v>
      </c>
      <c r="D29" s="34" t="s">
        <v>1165</v>
      </c>
      <c r="E29" s="34" t="s">
        <v>1166</v>
      </c>
      <c r="F29" s="34" t="s">
        <v>1167</v>
      </c>
      <c r="G29" s="34" t="s">
        <v>1060</v>
      </c>
    </row>
    <row r="30" spans="1:16" ht="52.05" customHeight="1">
      <c r="A30" s="22">
        <v>4</v>
      </c>
      <c r="B30" s="22" t="s">
        <v>713</v>
      </c>
      <c r="C30" s="22" t="s">
        <v>1168</v>
      </c>
      <c r="D30" s="22" t="s">
        <v>1169</v>
      </c>
      <c r="E30" s="22" t="s">
        <v>1170</v>
      </c>
      <c r="F30" s="22" t="s">
        <v>1171</v>
      </c>
      <c r="G30" s="22" t="s">
        <v>1060</v>
      </c>
    </row>
    <row r="31" spans="1:16" ht="52.05" customHeight="1">
      <c r="A31" s="35">
        <v>5</v>
      </c>
      <c r="B31" s="35" t="s">
        <v>750</v>
      </c>
      <c r="C31" s="35" t="s">
        <v>1172</v>
      </c>
      <c r="D31" s="35" t="s">
        <v>1173</v>
      </c>
      <c r="E31" s="35" t="s">
        <v>1174</v>
      </c>
      <c r="F31" s="35" t="s">
        <v>1175</v>
      </c>
      <c r="G31" s="35" t="s">
        <v>1060</v>
      </c>
    </row>
    <row r="32" spans="1:16" ht="52.05" customHeight="1">
      <c r="A32" s="35">
        <v>6</v>
      </c>
      <c r="B32" s="35" t="s">
        <v>792</v>
      </c>
      <c r="C32" s="35" t="s">
        <v>1073</v>
      </c>
      <c r="D32" s="35" t="s">
        <v>1074</v>
      </c>
      <c r="E32" s="35" t="s">
        <v>1176</v>
      </c>
      <c r="F32" s="35" t="s">
        <v>797</v>
      </c>
      <c r="G32" s="35" t="s">
        <v>1051</v>
      </c>
    </row>
    <row r="33" spans="1:7" ht="52.05" customHeight="1">
      <c r="A33" s="35">
        <v>7</v>
      </c>
      <c r="B33" s="35" t="s">
        <v>185</v>
      </c>
      <c r="C33" s="35" t="s">
        <v>1177</v>
      </c>
      <c r="D33" s="35" t="s">
        <v>1077</v>
      </c>
      <c r="E33" s="35" t="s">
        <v>1078</v>
      </c>
      <c r="F33" s="35" t="s">
        <v>1178</v>
      </c>
      <c r="G33" s="35" t="s">
        <v>1080</v>
      </c>
    </row>
  </sheetData>
  <mergeCells count="9">
    <mergeCell ref="A4:B4"/>
    <mergeCell ref="A24:O24"/>
    <mergeCell ref="A2:O2"/>
    <mergeCell ref="G5:O6"/>
    <mergeCell ref="A1:O1"/>
    <mergeCell ref="A5:B6"/>
    <mergeCell ref="D5:E6"/>
    <mergeCell ref="D4:E4"/>
    <mergeCell ref="G4:O4"/>
  </mergeCells>
  <conditionalFormatting sqref="O10:O23">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3"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topLeftCell="F9"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6" t="s">
        <v>1179</v>
      </c>
      <c r="B1" s="67"/>
      <c r="C1" s="67"/>
      <c r="D1" s="67"/>
      <c r="E1" s="67"/>
      <c r="F1" s="67"/>
      <c r="G1" s="67"/>
      <c r="H1" s="67"/>
      <c r="I1" s="67"/>
      <c r="J1" s="67"/>
      <c r="K1" s="67"/>
      <c r="L1" s="67"/>
      <c r="M1" s="67"/>
      <c r="N1" s="67"/>
      <c r="O1" s="67"/>
    </row>
    <row r="2" spans="1:16" ht="31.95" customHeight="1">
      <c r="A2" s="75" t="s">
        <v>1180</v>
      </c>
      <c r="B2" s="67"/>
      <c r="C2" s="67"/>
      <c r="D2" s="67"/>
      <c r="E2" s="67"/>
      <c r="F2" s="67"/>
      <c r="G2" s="67"/>
      <c r="H2" s="67"/>
      <c r="I2" s="67"/>
      <c r="J2" s="67"/>
      <c r="K2" s="67"/>
      <c r="L2" s="67"/>
      <c r="M2" s="67"/>
      <c r="N2" s="67"/>
      <c r="O2" s="67"/>
    </row>
    <row r="4" spans="1:16" ht="28.05" customHeight="1">
      <c r="A4" s="71" t="s">
        <v>1020</v>
      </c>
      <c r="B4" s="73"/>
      <c r="D4" s="71" t="s">
        <v>1014</v>
      </c>
      <c r="E4" s="73"/>
      <c r="G4" s="71" t="s">
        <v>1029</v>
      </c>
      <c r="H4" s="72"/>
      <c r="I4" s="72"/>
      <c r="J4" s="72"/>
      <c r="K4" s="72"/>
      <c r="L4" s="72"/>
      <c r="M4" s="72"/>
      <c r="N4" s="72"/>
      <c r="O4" s="73"/>
    </row>
    <row r="5" spans="1:16">
      <c r="A5" s="84">
        <f>IF(COUNTA(O10:O40)=0,0,COUNTIF(O10:O40,"Done")/COUNTA(A10:A40))</f>
        <v>0</v>
      </c>
      <c r="B5" s="62"/>
      <c r="D5" s="85">
        <f>COUNTIF(O10:O40,"Blocked")</f>
        <v>0</v>
      </c>
      <c r="E5" s="62"/>
      <c r="G5" s="82" t="s">
        <v>1181</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9" t="s">
        <v>22</v>
      </c>
    </row>
    <row r="10" spans="1:16" ht="110.4" customHeight="1">
      <c r="A10" s="10" t="s">
        <v>811</v>
      </c>
      <c r="B10" s="10">
        <v>1</v>
      </c>
      <c r="C10" s="10" t="s">
        <v>25</v>
      </c>
      <c r="D10" s="10" t="s">
        <v>813</v>
      </c>
      <c r="E10" s="10" t="s">
        <v>814</v>
      </c>
      <c r="F10" s="10" t="s">
        <v>815</v>
      </c>
      <c r="G10" s="10" t="s">
        <v>46</v>
      </c>
      <c r="H10" s="15">
        <v>0.75</v>
      </c>
      <c r="I10" s="10" t="s">
        <v>727</v>
      </c>
      <c r="J10" s="10" t="s">
        <v>816</v>
      </c>
      <c r="K10" s="10" t="s">
        <v>817</v>
      </c>
      <c r="L10" s="10" t="s">
        <v>818</v>
      </c>
      <c r="M10" s="10" t="s">
        <v>820</v>
      </c>
      <c r="N10" s="10" t="s">
        <v>822</v>
      </c>
      <c r="O10" s="10" t="s">
        <v>800</v>
      </c>
      <c r="P10" s="29" t="s">
        <v>823</v>
      </c>
    </row>
    <row r="11" spans="1:16" ht="124.2" customHeight="1">
      <c r="A11" s="11" t="s">
        <v>824</v>
      </c>
      <c r="B11" s="11">
        <v>2</v>
      </c>
      <c r="C11" s="11" t="s">
        <v>25</v>
      </c>
      <c r="D11" s="11" t="s">
        <v>825</v>
      </c>
      <c r="E11" s="11" t="s">
        <v>826</v>
      </c>
      <c r="F11" s="11" t="s">
        <v>827</v>
      </c>
      <c r="G11" s="11" t="s">
        <v>60</v>
      </c>
      <c r="H11" s="16">
        <v>1.5</v>
      </c>
      <c r="I11" s="11" t="s">
        <v>828</v>
      </c>
      <c r="J11" s="11" t="s">
        <v>816</v>
      </c>
      <c r="K11" s="11" t="s">
        <v>829</v>
      </c>
      <c r="L11" s="11" t="s">
        <v>830</v>
      </c>
      <c r="M11" s="11" t="s">
        <v>832</v>
      </c>
      <c r="N11" s="11" t="s">
        <v>834</v>
      </c>
      <c r="O11" s="11" t="s">
        <v>800</v>
      </c>
      <c r="P11" s="29" t="s">
        <v>835</v>
      </c>
    </row>
    <row r="12" spans="1:16" ht="110.4" customHeight="1">
      <c r="A12" s="11" t="s">
        <v>836</v>
      </c>
      <c r="B12" s="11">
        <v>3</v>
      </c>
      <c r="C12" s="11" t="s">
        <v>25</v>
      </c>
      <c r="D12" s="11" t="s">
        <v>837</v>
      </c>
      <c r="E12" s="11" t="s">
        <v>838</v>
      </c>
      <c r="F12" s="11" t="s">
        <v>839</v>
      </c>
      <c r="G12" s="11" t="s">
        <v>60</v>
      </c>
      <c r="H12" s="16">
        <v>1</v>
      </c>
      <c r="I12" s="11" t="s">
        <v>828</v>
      </c>
      <c r="J12" s="11" t="s">
        <v>840</v>
      </c>
      <c r="K12" s="11" t="s">
        <v>841</v>
      </c>
      <c r="L12" s="11" t="s">
        <v>842</v>
      </c>
      <c r="M12" s="11" t="s">
        <v>844</v>
      </c>
      <c r="N12" s="11" t="s">
        <v>846</v>
      </c>
      <c r="O12" s="11" t="s">
        <v>800</v>
      </c>
      <c r="P12" s="29" t="s">
        <v>847</v>
      </c>
    </row>
    <row r="13" spans="1:16" ht="110.4" customHeight="1">
      <c r="A13" s="11" t="s">
        <v>848</v>
      </c>
      <c r="B13" s="11">
        <v>4</v>
      </c>
      <c r="C13" s="11" t="s">
        <v>25</v>
      </c>
      <c r="D13" s="11" t="s">
        <v>849</v>
      </c>
      <c r="E13" s="11" t="s">
        <v>850</v>
      </c>
      <c r="F13" s="11" t="s">
        <v>851</v>
      </c>
      <c r="G13" s="11" t="s">
        <v>60</v>
      </c>
      <c r="H13" s="16">
        <v>1</v>
      </c>
      <c r="I13" s="11" t="s">
        <v>828</v>
      </c>
      <c r="J13" s="11" t="s">
        <v>852</v>
      </c>
      <c r="K13" s="11" t="s">
        <v>853</v>
      </c>
      <c r="L13" s="11" t="s">
        <v>854</v>
      </c>
      <c r="M13" s="11" t="s">
        <v>856</v>
      </c>
      <c r="N13" s="11" t="s">
        <v>858</v>
      </c>
      <c r="O13" s="11" t="s">
        <v>800</v>
      </c>
      <c r="P13" s="29" t="s">
        <v>859</v>
      </c>
    </row>
    <row r="14" spans="1:16" ht="110.4" customHeight="1">
      <c r="A14" s="11" t="s">
        <v>860</v>
      </c>
      <c r="B14" s="11">
        <v>5</v>
      </c>
      <c r="C14" s="11" t="s">
        <v>25</v>
      </c>
      <c r="D14" s="11" t="s">
        <v>861</v>
      </c>
      <c r="E14" s="11" t="s">
        <v>862</v>
      </c>
      <c r="F14" s="11" t="s">
        <v>863</v>
      </c>
      <c r="G14" s="11" t="s">
        <v>60</v>
      </c>
      <c r="H14" s="16">
        <v>1</v>
      </c>
      <c r="I14" s="11" t="s">
        <v>828</v>
      </c>
      <c r="J14" s="11" t="s">
        <v>458</v>
      </c>
      <c r="K14" s="11" t="s">
        <v>864</v>
      </c>
      <c r="L14" s="11" t="s">
        <v>830</v>
      </c>
      <c r="M14" s="11" t="s">
        <v>866</v>
      </c>
      <c r="N14" s="11" t="s">
        <v>867</v>
      </c>
      <c r="O14" s="11" t="s">
        <v>800</v>
      </c>
      <c r="P14" s="29" t="s">
        <v>868</v>
      </c>
    </row>
    <row r="15" spans="1:16" ht="124.2" customHeight="1">
      <c r="A15" s="11" t="s">
        <v>869</v>
      </c>
      <c r="B15" s="11">
        <v>6</v>
      </c>
      <c r="C15" s="11" t="s">
        <v>25</v>
      </c>
      <c r="D15" s="11" t="s">
        <v>870</v>
      </c>
      <c r="E15" s="11" t="s">
        <v>871</v>
      </c>
      <c r="F15" s="11" t="s">
        <v>872</v>
      </c>
      <c r="G15" s="11" t="s">
        <v>60</v>
      </c>
      <c r="H15" s="16">
        <v>1.25</v>
      </c>
      <c r="I15" s="11" t="s">
        <v>873</v>
      </c>
      <c r="J15" s="11" t="s">
        <v>446</v>
      </c>
      <c r="K15" s="11" t="s">
        <v>874</v>
      </c>
      <c r="L15" s="11" t="s">
        <v>581</v>
      </c>
      <c r="M15" s="11" t="s">
        <v>876</v>
      </c>
      <c r="N15" s="11" t="s">
        <v>878</v>
      </c>
      <c r="O15" s="11" t="s">
        <v>800</v>
      </c>
      <c r="P15" s="29" t="s">
        <v>879</v>
      </c>
    </row>
    <row r="16" spans="1:16" ht="110.4" customHeight="1">
      <c r="A16" s="11" t="s">
        <v>880</v>
      </c>
      <c r="B16" s="11">
        <v>7</v>
      </c>
      <c r="C16" s="11" t="s">
        <v>25</v>
      </c>
      <c r="D16" s="11" t="s">
        <v>881</v>
      </c>
      <c r="E16" s="11" t="s">
        <v>882</v>
      </c>
      <c r="F16" s="11" t="s">
        <v>883</v>
      </c>
      <c r="G16" s="11" t="s">
        <v>46</v>
      </c>
      <c r="H16" s="16">
        <v>1</v>
      </c>
      <c r="I16" s="11" t="s">
        <v>873</v>
      </c>
      <c r="J16" s="11" t="s">
        <v>884</v>
      </c>
      <c r="K16" s="11" t="s">
        <v>885</v>
      </c>
      <c r="L16" s="11" t="s">
        <v>886</v>
      </c>
      <c r="M16" s="11" t="s">
        <v>888</v>
      </c>
      <c r="N16" s="11" t="s">
        <v>889</v>
      </c>
      <c r="O16" s="11" t="s">
        <v>800</v>
      </c>
      <c r="P16" s="29" t="s">
        <v>890</v>
      </c>
    </row>
    <row r="17" spans="1:16" ht="110.4" customHeight="1">
      <c r="A17" s="11" t="s">
        <v>891</v>
      </c>
      <c r="B17" s="11">
        <v>8</v>
      </c>
      <c r="C17" s="11" t="s">
        <v>25</v>
      </c>
      <c r="D17" s="11" t="s">
        <v>892</v>
      </c>
      <c r="E17" s="11" t="s">
        <v>893</v>
      </c>
      <c r="F17" s="11" t="s">
        <v>894</v>
      </c>
      <c r="G17" s="11" t="s">
        <v>895</v>
      </c>
      <c r="H17" s="16">
        <v>1</v>
      </c>
      <c r="I17" s="11" t="s">
        <v>873</v>
      </c>
      <c r="J17" s="11" t="s">
        <v>446</v>
      </c>
      <c r="K17" s="11" t="s">
        <v>896</v>
      </c>
      <c r="L17" s="11" t="s">
        <v>897</v>
      </c>
      <c r="M17" s="11" t="s">
        <v>899</v>
      </c>
      <c r="N17" s="11" t="s">
        <v>902</v>
      </c>
      <c r="O17" s="11" t="s">
        <v>800</v>
      </c>
      <c r="P17" s="29" t="s">
        <v>903</v>
      </c>
    </row>
    <row r="18" spans="1:16" ht="110.4" customHeight="1">
      <c r="A18" s="11" t="s">
        <v>904</v>
      </c>
      <c r="B18" s="11">
        <v>9</v>
      </c>
      <c r="C18" s="11" t="s">
        <v>25</v>
      </c>
      <c r="D18" s="11" t="s">
        <v>905</v>
      </c>
      <c r="E18" s="11" t="s">
        <v>906</v>
      </c>
      <c r="F18" s="11" t="s">
        <v>907</v>
      </c>
      <c r="G18" s="11" t="s">
        <v>46</v>
      </c>
      <c r="H18" s="16">
        <v>1</v>
      </c>
      <c r="I18" s="11" t="s">
        <v>873</v>
      </c>
      <c r="J18" s="11" t="s">
        <v>908</v>
      </c>
      <c r="K18" s="11" t="s">
        <v>909</v>
      </c>
      <c r="L18" s="11" t="s">
        <v>910</v>
      </c>
      <c r="M18" s="11" t="s">
        <v>912</v>
      </c>
      <c r="N18" s="11" t="s">
        <v>914</v>
      </c>
      <c r="O18" s="11" t="s">
        <v>800</v>
      </c>
      <c r="P18" s="29" t="s">
        <v>915</v>
      </c>
    </row>
    <row r="19" spans="1:16" ht="124.2" customHeight="1">
      <c r="A19" s="11" t="s">
        <v>916</v>
      </c>
      <c r="B19" s="11">
        <v>10</v>
      </c>
      <c r="C19" s="11" t="s">
        <v>25</v>
      </c>
      <c r="D19" s="11" t="s">
        <v>917</v>
      </c>
      <c r="E19" s="11" t="s">
        <v>918</v>
      </c>
      <c r="F19" s="11" t="s">
        <v>919</v>
      </c>
      <c r="G19" s="11" t="s">
        <v>46</v>
      </c>
      <c r="H19" s="16">
        <v>1.25</v>
      </c>
      <c r="I19" s="11" t="s">
        <v>920</v>
      </c>
      <c r="J19" s="11" t="s">
        <v>423</v>
      </c>
      <c r="K19" s="11" t="s">
        <v>921</v>
      </c>
      <c r="L19" s="11" t="s">
        <v>922</v>
      </c>
      <c r="M19" s="11" t="s">
        <v>924</v>
      </c>
      <c r="N19" s="11" t="s">
        <v>926</v>
      </c>
      <c r="O19" s="11" t="s">
        <v>800</v>
      </c>
      <c r="P19" s="29" t="s">
        <v>927</v>
      </c>
    </row>
    <row r="20" spans="1:16" ht="193.8" customHeight="1">
      <c r="A20" s="11" t="s">
        <v>928</v>
      </c>
      <c r="B20" s="11">
        <v>11</v>
      </c>
      <c r="C20" s="11" t="s">
        <v>25</v>
      </c>
      <c r="D20" s="11" t="s">
        <v>929</v>
      </c>
      <c r="E20" s="11" t="s">
        <v>930</v>
      </c>
      <c r="F20" s="11" t="s">
        <v>931</v>
      </c>
      <c r="G20" s="11" t="s">
        <v>29</v>
      </c>
      <c r="H20" s="16">
        <v>0.75</v>
      </c>
      <c r="I20" s="11" t="s">
        <v>920</v>
      </c>
      <c r="J20" s="11" t="s">
        <v>305</v>
      </c>
      <c r="K20" s="11" t="s">
        <v>932</v>
      </c>
      <c r="L20" s="11" t="s">
        <v>933</v>
      </c>
      <c r="M20" s="11" t="s">
        <v>935</v>
      </c>
      <c r="N20" s="11" t="s">
        <v>936</v>
      </c>
      <c r="O20" s="11" t="s">
        <v>800</v>
      </c>
      <c r="P20" s="29" t="s">
        <v>937</v>
      </c>
    </row>
    <row r="21" spans="1:16" ht="110.4" customHeight="1">
      <c r="A21" s="11" t="s">
        <v>938</v>
      </c>
      <c r="B21" s="11">
        <v>12</v>
      </c>
      <c r="C21" s="11" t="s">
        <v>25</v>
      </c>
      <c r="D21" s="11" t="s">
        <v>939</v>
      </c>
      <c r="E21" s="11" t="s">
        <v>940</v>
      </c>
      <c r="F21" s="11" t="s">
        <v>941</v>
      </c>
      <c r="G21" s="11" t="s">
        <v>29</v>
      </c>
      <c r="H21" s="16">
        <v>1.25</v>
      </c>
      <c r="I21" s="11" t="s">
        <v>750</v>
      </c>
      <c r="J21" s="11" t="s">
        <v>147</v>
      </c>
      <c r="K21" s="11" t="s">
        <v>942</v>
      </c>
      <c r="L21" s="11" t="s">
        <v>943</v>
      </c>
      <c r="M21" s="11" t="s">
        <v>945</v>
      </c>
      <c r="N21" s="11" t="s">
        <v>947</v>
      </c>
      <c r="O21" s="11" t="s">
        <v>800</v>
      </c>
      <c r="P21" s="29" t="s">
        <v>948</v>
      </c>
    </row>
    <row r="22" spans="1:16" ht="124.2" customHeight="1">
      <c r="A22" s="11" t="s">
        <v>949</v>
      </c>
      <c r="B22" s="11">
        <v>13</v>
      </c>
      <c r="C22" s="11" t="s">
        <v>25</v>
      </c>
      <c r="D22" s="11" t="s">
        <v>950</v>
      </c>
      <c r="E22" s="11" t="s">
        <v>951</v>
      </c>
      <c r="F22" s="11" t="s">
        <v>952</v>
      </c>
      <c r="G22" s="11" t="s">
        <v>29</v>
      </c>
      <c r="H22" s="16">
        <v>1</v>
      </c>
      <c r="I22" s="11" t="s">
        <v>920</v>
      </c>
      <c r="J22" s="11" t="s">
        <v>37</v>
      </c>
      <c r="K22" s="11" t="s">
        <v>953</v>
      </c>
      <c r="L22" s="11" t="s">
        <v>954</v>
      </c>
      <c r="M22" s="11" t="s">
        <v>956</v>
      </c>
      <c r="N22" s="11" t="s">
        <v>958</v>
      </c>
      <c r="O22" s="11" t="s">
        <v>800</v>
      </c>
      <c r="P22" s="29" t="s">
        <v>959</v>
      </c>
    </row>
    <row r="23" spans="1:16" ht="24" customHeight="1">
      <c r="A23" s="24" t="s">
        <v>960</v>
      </c>
      <c r="B23" s="24">
        <v>14</v>
      </c>
      <c r="C23" s="24" t="s">
        <v>25</v>
      </c>
      <c r="D23" s="24" t="s">
        <v>182</v>
      </c>
      <c r="E23" s="24" t="s">
        <v>961</v>
      </c>
      <c r="F23" s="24" t="s">
        <v>962</v>
      </c>
      <c r="G23" s="24" t="s">
        <v>46</v>
      </c>
      <c r="H23">
        <v>1.5</v>
      </c>
      <c r="I23" t="s">
        <v>185</v>
      </c>
      <c r="J23" t="s">
        <v>37</v>
      </c>
      <c r="K23" t="s">
        <v>963</v>
      </c>
      <c r="L23" t="s">
        <v>964</v>
      </c>
      <c r="M23" t="s">
        <v>966</v>
      </c>
      <c r="N23" t="s">
        <v>191</v>
      </c>
      <c r="O23" t="s">
        <v>800</v>
      </c>
      <c r="P23" s="29" t="s">
        <v>969</v>
      </c>
    </row>
    <row r="24" spans="1:16" ht="34.049999999999997" customHeight="1">
      <c r="A24" s="86"/>
      <c r="B24" s="72"/>
      <c r="C24" s="72"/>
      <c r="D24" s="72"/>
      <c r="E24" s="72"/>
      <c r="F24" s="72"/>
      <c r="G24" s="72"/>
      <c r="H24" s="72"/>
      <c r="I24" s="72"/>
      <c r="J24" s="72"/>
      <c r="K24" s="72"/>
      <c r="L24" s="72"/>
      <c r="M24" s="72"/>
      <c r="N24" s="72"/>
      <c r="O24" s="73"/>
    </row>
    <row r="25" spans="1:16" ht="48" customHeight="1">
      <c r="A25" s="32" t="s">
        <v>1040</v>
      </c>
      <c r="B25" s="32"/>
      <c r="C25" s="32"/>
      <c r="D25" s="32"/>
      <c r="E25" s="32"/>
      <c r="F25" s="32"/>
      <c r="G25" s="32"/>
      <c r="H25" s="31"/>
      <c r="I25" s="31"/>
      <c r="J25" s="31"/>
      <c r="K25" s="31"/>
      <c r="L25" s="31"/>
      <c r="M25" s="31"/>
      <c r="N25" s="31"/>
      <c r="O25" s="31"/>
      <c r="P25" s="31"/>
    </row>
    <row r="26" spans="1:16" ht="48" customHeight="1">
      <c r="A26" s="33" t="s">
        <v>1041</v>
      </c>
      <c r="B26" s="33" t="s">
        <v>11</v>
      </c>
      <c r="C26" s="33" t="s">
        <v>1042</v>
      </c>
      <c r="D26" s="33" t="s">
        <v>1043</v>
      </c>
      <c r="E26" s="33" t="s">
        <v>1044</v>
      </c>
      <c r="F26" s="33" t="s">
        <v>1045</v>
      </c>
      <c r="G26" s="33" t="s">
        <v>1046</v>
      </c>
    </row>
    <row r="27" spans="1:16" ht="52.05" customHeight="1">
      <c r="A27" s="34">
        <v>1</v>
      </c>
      <c r="B27" s="34" t="s">
        <v>828</v>
      </c>
      <c r="C27" s="34" t="s">
        <v>1182</v>
      </c>
      <c r="D27" s="34" t="s">
        <v>1183</v>
      </c>
      <c r="E27" s="34" t="s">
        <v>1184</v>
      </c>
      <c r="F27" s="34" t="s">
        <v>1185</v>
      </c>
      <c r="G27" s="34" t="s">
        <v>1060</v>
      </c>
    </row>
    <row r="28" spans="1:16" ht="52.05" customHeight="1">
      <c r="A28" s="35">
        <v>2</v>
      </c>
      <c r="B28" s="35" t="s">
        <v>873</v>
      </c>
      <c r="C28" s="35" t="s">
        <v>1186</v>
      </c>
      <c r="D28" s="35" t="s">
        <v>1187</v>
      </c>
      <c r="E28" s="35" t="s">
        <v>1188</v>
      </c>
      <c r="F28" s="35" t="s">
        <v>1189</v>
      </c>
      <c r="G28" s="35" t="s">
        <v>1060</v>
      </c>
    </row>
    <row r="29" spans="1:16" ht="52.05" customHeight="1">
      <c r="A29" s="35">
        <v>3</v>
      </c>
      <c r="B29" s="35" t="s">
        <v>920</v>
      </c>
      <c r="C29" s="35" t="s">
        <v>1190</v>
      </c>
      <c r="D29" s="35" t="s">
        <v>1191</v>
      </c>
      <c r="E29" s="35" t="s">
        <v>1192</v>
      </c>
      <c r="F29" s="35" t="s">
        <v>1193</v>
      </c>
      <c r="G29" s="35" t="s">
        <v>1060</v>
      </c>
    </row>
    <row r="30" spans="1:16" ht="52.05" customHeight="1">
      <c r="A30" s="35">
        <v>4</v>
      </c>
      <c r="B30" s="35" t="s">
        <v>185</v>
      </c>
      <c r="C30" s="35" t="s">
        <v>1194</v>
      </c>
      <c r="D30" s="35" t="s">
        <v>1077</v>
      </c>
      <c r="E30" s="35" t="s">
        <v>1078</v>
      </c>
      <c r="F30" s="35" t="s">
        <v>1195</v>
      </c>
      <c r="G30" s="35" t="s">
        <v>1080</v>
      </c>
    </row>
  </sheetData>
  <mergeCells count="9">
    <mergeCell ref="A4:B4"/>
    <mergeCell ref="A24:O24"/>
    <mergeCell ref="A2:O2"/>
    <mergeCell ref="G5:O6"/>
    <mergeCell ref="A1:O1"/>
    <mergeCell ref="A5:B6"/>
    <mergeCell ref="D5:E6"/>
    <mergeCell ref="D4:E4"/>
    <mergeCell ref="G4:O4"/>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66" t="s">
        <v>1196</v>
      </c>
      <c r="B1" s="67"/>
      <c r="C1" s="67"/>
      <c r="D1" s="67"/>
      <c r="E1" s="67"/>
      <c r="F1" s="67"/>
      <c r="G1" s="67"/>
      <c r="H1" s="67"/>
    </row>
    <row r="2" spans="1:8" ht="31.95" customHeight="1">
      <c r="A2" s="75" t="s">
        <v>1197</v>
      </c>
      <c r="B2" s="67"/>
      <c r="C2" s="67"/>
      <c r="D2" s="67"/>
      <c r="E2" s="67"/>
      <c r="F2" s="67"/>
      <c r="G2" s="67"/>
      <c r="H2" s="67"/>
    </row>
    <row r="4" spans="1:8" ht="46.05" customHeight="1">
      <c r="A4" s="87" t="s">
        <v>1198</v>
      </c>
      <c r="B4" s="72"/>
      <c r="C4" s="72"/>
      <c r="D4" s="72"/>
      <c r="E4" s="72"/>
      <c r="F4" s="72"/>
      <c r="G4" s="72"/>
      <c r="H4" s="73"/>
    </row>
    <row r="6" spans="1:8" ht="28.05" customHeight="1">
      <c r="A6" s="1" t="s">
        <v>1199</v>
      </c>
      <c r="B6" s="2" t="s">
        <v>1200</v>
      </c>
      <c r="C6" s="2" t="s">
        <v>1201</v>
      </c>
      <c r="D6" s="2" t="s">
        <v>1202</v>
      </c>
      <c r="E6" s="2" t="s">
        <v>1203</v>
      </c>
      <c r="F6" s="2" t="s">
        <v>1204</v>
      </c>
      <c r="G6" s="2" t="s">
        <v>1205</v>
      </c>
      <c r="H6" s="3" t="s">
        <v>1206</v>
      </c>
    </row>
    <row r="7" spans="1:8">
      <c r="A7" s="10" t="s">
        <v>1207</v>
      </c>
      <c r="B7" s="10" t="s">
        <v>1208</v>
      </c>
      <c r="C7" s="10" t="s">
        <v>1209</v>
      </c>
      <c r="D7" s="10" t="s">
        <v>1210</v>
      </c>
      <c r="E7" s="10" t="s">
        <v>1211</v>
      </c>
      <c r="F7" s="10" t="s">
        <v>1212</v>
      </c>
      <c r="G7" s="10" t="s">
        <v>1213</v>
      </c>
      <c r="H7" s="10" t="s">
        <v>1214</v>
      </c>
    </row>
    <row r="8" spans="1:8" ht="22.8" customHeight="1">
      <c r="A8" s="11" t="s">
        <v>1207</v>
      </c>
      <c r="B8" s="11" t="s">
        <v>1215</v>
      </c>
      <c r="C8" s="11" t="s">
        <v>1216</v>
      </c>
      <c r="D8" s="11" t="s">
        <v>1217</v>
      </c>
      <c r="E8" s="11" t="s">
        <v>195</v>
      </c>
      <c r="F8" s="11" t="s">
        <v>380</v>
      </c>
      <c r="G8" s="11" t="s">
        <v>1218</v>
      </c>
      <c r="H8" s="11" t="s">
        <v>1219</v>
      </c>
    </row>
    <row r="9" spans="1:8">
      <c r="A9" s="11" t="s">
        <v>1207</v>
      </c>
      <c r="B9" s="11" t="s">
        <v>1220</v>
      </c>
      <c r="C9" s="11" t="s">
        <v>1221</v>
      </c>
      <c r="D9" s="11" t="s">
        <v>1222</v>
      </c>
      <c r="E9" s="11" t="s">
        <v>195</v>
      </c>
      <c r="F9" s="11" t="s">
        <v>91</v>
      </c>
      <c r="G9" s="11" t="s">
        <v>1223</v>
      </c>
      <c r="H9" s="11" t="s">
        <v>1224</v>
      </c>
    </row>
    <row r="10" spans="1:8" ht="22.8" customHeight="1">
      <c r="A10" s="11" t="s">
        <v>1207</v>
      </c>
      <c r="B10" s="11" t="s">
        <v>1225</v>
      </c>
      <c r="C10" s="11" t="s">
        <v>1226</v>
      </c>
      <c r="D10" s="11" t="s">
        <v>1227</v>
      </c>
      <c r="E10" s="11" t="s">
        <v>195</v>
      </c>
      <c r="F10" s="11" t="s">
        <v>226</v>
      </c>
      <c r="G10" s="11" t="s">
        <v>1228</v>
      </c>
      <c r="H10" s="11" t="s">
        <v>1229</v>
      </c>
    </row>
    <row r="11" spans="1:8">
      <c r="A11" s="11" t="s">
        <v>1207</v>
      </c>
      <c r="B11" s="11" t="s">
        <v>1230</v>
      </c>
      <c r="C11" s="11" t="s">
        <v>1231</v>
      </c>
      <c r="D11" s="11" t="s">
        <v>1232</v>
      </c>
      <c r="E11" s="11" t="s">
        <v>645</v>
      </c>
      <c r="F11" s="11" t="s">
        <v>226</v>
      </c>
      <c r="G11" s="11" t="s">
        <v>1233</v>
      </c>
      <c r="H11" s="11" t="s">
        <v>1234</v>
      </c>
    </row>
    <row r="12" spans="1:8">
      <c r="A12" s="11" t="s">
        <v>1235</v>
      </c>
      <c r="B12" s="11" t="s">
        <v>1236</v>
      </c>
      <c r="C12" s="11" t="s">
        <v>1237</v>
      </c>
      <c r="D12" s="11" t="s">
        <v>1238</v>
      </c>
      <c r="E12" s="11" t="s">
        <v>499</v>
      </c>
      <c r="F12" s="11" t="s">
        <v>508</v>
      </c>
      <c r="G12" s="11" t="s">
        <v>1239</v>
      </c>
      <c r="H12" s="11" t="s">
        <v>1240</v>
      </c>
    </row>
    <row r="13" spans="1:8">
      <c r="A13" s="11" t="s">
        <v>1235</v>
      </c>
      <c r="B13" s="11" t="s">
        <v>1241</v>
      </c>
      <c r="C13" s="11" t="s">
        <v>1242</v>
      </c>
      <c r="D13" s="11" t="s">
        <v>1243</v>
      </c>
      <c r="E13" s="11" t="s">
        <v>1244</v>
      </c>
      <c r="F13" s="11" t="s">
        <v>274</v>
      </c>
      <c r="G13" s="11" t="s">
        <v>1245</v>
      </c>
      <c r="H13" s="11" t="s">
        <v>1246</v>
      </c>
    </row>
    <row r="14" spans="1:8" ht="22.8" customHeight="1">
      <c r="A14" s="11" t="s">
        <v>1235</v>
      </c>
      <c r="B14" s="11" t="s">
        <v>1247</v>
      </c>
      <c r="C14" s="11" t="s">
        <v>1248</v>
      </c>
      <c r="D14" s="11" t="s">
        <v>1249</v>
      </c>
      <c r="E14" s="11" t="s">
        <v>1250</v>
      </c>
      <c r="F14" s="11" t="s">
        <v>215</v>
      </c>
      <c r="G14" s="11" t="s">
        <v>1251</v>
      </c>
      <c r="H14" s="11" t="s">
        <v>1252</v>
      </c>
    </row>
    <row r="15" spans="1:8">
      <c r="A15" s="11" t="s">
        <v>1235</v>
      </c>
      <c r="B15" s="11" t="s">
        <v>1253</v>
      </c>
      <c r="C15" s="11" t="s">
        <v>1254</v>
      </c>
      <c r="D15" s="11" t="s">
        <v>1255</v>
      </c>
      <c r="E15" s="11" t="s">
        <v>347</v>
      </c>
      <c r="F15" s="11" t="s">
        <v>369</v>
      </c>
      <c r="G15" s="11" t="s">
        <v>1256</v>
      </c>
      <c r="H15" s="11" t="s">
        <v>1257</v>
      </c>
    </row>
    <row r="16" spans="1:8" ht="22.8" customHeight="1">
      <c r="A16" s="11" t="s">
        <v>1235</v>
      </c>
      <c r="B16" s="11" t="s">
        <v>1258</v>
      </c>
      <c r="C16" s="11" t="s">
        <v>1259</v>
      </c>
      <c r="D16" s="11" t="s">
        <v>1260</v>
      </c>
      <c r="E16" s="11" t="s">
        <v>347</v>
      </c>
      <c r="F16" s="11" t="s">
        <v>380</v>
      </c>
      <c r="G16" s="11" t="s">
        <v>1261</v>
      </c>
      <c r="H16" s="11" t="s">
        <v>1262</v>
      </c>
    </row>
    <row r="17" spans="1:8">
      <c r="A17" s="11" t="s">
        <v>1263</v>
      </c>
      <c r="B17" s="11" t="s">
        <v>1264</v>
      </c>
      <c r="C17" s="11" t="s">
        <v>1265</v>
      </c>
      <c r="D17" s="11" t="s">
        <v>1266</v>
      </c>
      <c r="E17" s="11" t="s">
        <v>499</v>
      </c>
      <c r="F17" s="11" t="s">
        <v>529</v>
      </c>
      <c r="G17" s="11" t="s">
        <v>1267</v>
      </c>
      <c r="H17" s="11" t="s">
        <v>1268</v>
      </c>
    </row>
    <row r="18" spans="1:8">
      <c r="A18" s="11" t="s">
        <v>1263</v>
      </c>
      <c r="B18" s="11" t="s">
        <v>1269</v>
      </c>
      <c r="C18" s="11" t="s">
        <v>1270</v>
      </c>
      <c r="D18" s="11" t="s">
        <v>1271</v>
      </c>
      <c r="E18" s="11" t="s">
        <v>499</v>
      </c>
      <c r="F18" s="11" t="s">
        <v>550</v>
      </c>
      <c r="G18" s="11" t="s">
        <v>1272</v>
      </c>
      <c r="H18" s="11" t="s">
        <v>1273</v>
      </c>
    </row>
    <row r="19" spans="1:8">
      <c r="A19" s="11" t="s">
        <v>1274</v>
      </c>
      <c r="B19" s="11" t="s">
        <v>1275</v>
      </c>
      <c r="C19" s="11" t="s">
        <v>1276</v>
      </c>
      <c r="D19" s="11" t="s">
        <v>1277</v>
      </c>
      <c r="E19" s="11" t="s">
        <v>812</v>
      </c>
      <c r="F19" s="11" t="s">
        <v>833</v>
      </c>
      <c r="G19" s="11" t="s">
        <v>1278</v>
      </c>
      <c r="H19" s="11" t="s">
        <v>1279</v>
      </c>
    </row>
    <row r="20" spans="1:8">
      <c r="A20" s="11" t="s">
        <v>1280</v>
      </c>
      <c r="B20" s="11" t="s">
        <v>1281</v>
      </c>
      <c r="C20" s="11" t="s">
        <v>1282</v>
      </c>
      <c r="D20" s="11" t="s">
        <v>1283</v>
      </c>
      <c r="E20" s="11" t="s">
        <v>1284</v>
      </c>
      <c r="F20" s="11" t="s">
        <v>1212</v>
      </c>
      <c r="G20" s="11" t="s">
        <v>1285</v>
      </c>
      <c r="H20" s="11" t="s">
        <v>1286</v>
      </c>
    </row>
    <row r="21" spans="1:8" ht="22.8" customHeight="1">
      <c r="A21" s="11" t="s">
        <v>1287</v>
      </c>
      <c r="B21" s="11" t="s">
        <v>1288</v>
      </c>
      <c r="C21" s="11" t="s">
        <v>1289</v>
      </c>
      <c r="D21" s="11" t="s">
        <v>1290</v>
      </c>
      <c r="E21" s="11" t="s">
        <v>1291</v>
      </c>
      <c r="F21" s="11" t="s">
        <v>1292</v>
      </c>
      <c r="G21" s="11" t="s">
        <v>1293</v>
      </c>
      <c r="H21" s="11" t="s">
        <v>1294</v>
      </c>
    </row>
    <row r="22" spans="1:8">
      <c r="A22" s="11" t="s">
        <v>1295</v>
      </c>
      <c r="B22" s="11" t="s">
        <v>1296</v>
      </c>
      <c r="C22" s="11" t="s">
        <v>1297</v>
      </c>
      <c r="D22" s="11" t="s">
        <v>1298</v>
      </c>
      <c r="E22" s="11" t="s">
        <v>1299</v>
      </c>
      <c r="F22" s="11" t="s">
        <v>451</v>
      </c>
      <c r="G22" s="11" t="s">
        <v>1300</v>
      </c>
      <c r="H22" s="11" t="s">
        <v>1301</v>
      </c>
    </row>
    <row r="23" spans="1:8" ht="22.8" customHeight="1">
      <c r="A23" s="11" t="s">
        <v>1295</v>
      </c>
      <c r="B23" s="11" t="s">
        <v>1302</v>
      </c>
      <c r="C23" s="11" t="s">
        <v>1303</v>
      </c>
      <c r="D23" s="11" t="s">
        <v>1304</v>
      </c>
      <c r="E23" s="11" t="s">
        <v>812</v>
      </c>
      <c r="F23" s="11" t="s">
        <v>1305</v>
      </c>
      <c r="G23" s="11" t="s">
        <v>1306</v>
      </c>
      <c r="H23" s="11" t="s">
        <v>1307</v>
      </c>
    </row>
    <row r="24" spans="1:8">
      <c r="A24" s="11" t="s">
        <v>1308</v>
      </c>
      <c r="B24" s="11" t="s">
        <v>1309</v>
      </c>
      <c r="C24" s="11" t="s">
        <v>1310</v>
      </c>
      <c r="D24" s="11" t="s">
        <v>1311</v>
      </c>
      <c r="E24" s="11" t="s">
        <v>1312</v>
      </c>
      <c r="F24" s="11" t="s">
        <v>1313</v>
      </c>
      <c r="G24" s="11" t="s">
        <v>1314</v>
      </c>
      <c r="H24" s="11" t="s">
        <v>1315</v>
      </c>
    </row>
  </sheetData>
  <mergeCells count="3">
    <mergeCell ref="A4:H4"/>
    <mergeCell ref="A2:H2"/>
    <mergeCell ref="A1:H1"/>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5"/>
  <sheetViews>
    <sheetView showGridLines="0" tabSelected="1" topLeftCell="L36" workbookViewId="0">
      <selection activeCell="N36" sqref="N36"/>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5" width="8.796875" style="27" customWidth="1"/>
    <col min="16" max="16384" width="8.796875" style="27"/>
  </cols>
  <sheetData>
    <row r="1" spans="1:14" ht="22.8" customHeight="1">
      <c r="A1" s="57" t="s">
        <v>1316</v>
      </c>
      <c r="B1" s="58"/>
      <c r="C1" s="58"/>
      <c r="D1" s="58"/>
      <c r="E1" s="58"/>
      <c r="F1" s="58"/>
      <c r="G1" s="58"/>
      <c r="H1" s="58"/>
      <c r="I1" s="58"/>
      <c r="J1" s="58"/>
      <c r="K1" s="51"/>
      <c r="L1" s="51"/>
      <c r="M1" s="54"/>
      <c r="N1" s="54"/>
    </row>
    <row r="2" spans="1:14">
      <c r="A2" s="59" t="s">
        <v>1317</v>
      </c>
      <c r="B2" s="58"/>
      <c r="C2" s="58"/>
      <c r="D2" s="58"/>
      <c r="E2" s="58"/>
      <c r="F2" s="58"/>
      <c r="G2" s="58"/>
      <c r="H2" s="58"/>
      <c r="I2" s="58"/>
      <c r="J2" s="58"/>
      <c r="K2" s="52"/>
      <c r="L2" s="52"/>
      <c r="M2" s="55"/>
      <c r="N2" s="55"/>
    </row>
    <row r="3" spans="1:14">
      <c r="M3" s="22"/>
      <c r="N3" s="22"/>
    </row>
    <row r="5" spans="1:14">
      <c r="A5" s="53" t="s">
        <v>11</v>
      </c>
      <c r="B5" s="53" t="s">
        <v>3</v>
      </c>
      <c r="C5" s="53" t="s">
        <v>1042</v>
      </c>
      <c r="D5" s="53" t="s">
        <v>1043</v>
      </c>
      <c r="E5" s="53" t="s">
        <v>1044</v>
      </c>
      <c r="F5" s="53" t="s">
        <v>1045</v>
      </c>
      <c r="G5" s="53" t="s">
        <v>1318</v>
      </c>
      <c r="H5" s="53" t="s">
        <v>1319</v>
      </c>
      <c r="I5" s="53" t="s">
        <v>1320</v>
      </c>
      <c r="J5" s="53" t="s">
        <v>1321</v>
      </c>
      <c r="K5" s="53" t="s">
        <v>1322</v>
      </c>
      <c r="L5" s="53" t="s">
        <v>1323</v>
      </c>
      <c r="M5" s="53" t="s">
        <v>1324</v>
      </c>
      <c r="N5" s="53" t="s">
        <v>1325</v>
      </c>
    </row>
    <row r="6" spans="1:14" ht="125.4" customHeight="1">
      <c r="A6" s="23" t="s">
        <v>1326</v>
      </c>
      <c r="B6" s="23" t="s">
        <v>1327</v>
      </c>
      <c r="C6" s="23" t="s">
        <v>1328</v>
      </c>
      <c r="D6" s="23" t="s">
        <v>1329</v>
      </c>
      <c r="E6" s="23" t="s">
        <v>1330</v>
      </c>
      <c r="F6" s="23" t="s">
        <v>1331</v>
      </c>
      <c r="G6" s="23" t="s">
        <v>1332</v>
      </c>
      <c r="H6" s="23" t="s">
        <v>1333</v>
      </c>
      <c r="I6" s="23" t="s">
        <v>1334</v>
      </c>
      <c r="J6" s="23" t="s">
        <v>1335</v>
      </c>
      <c r="K6" s="23" t="s">
        <v>1327</v>
      </c>
      <c r="L6" s="23" t="s">
        <v>1336</v>
      </c>
      <c r="M6" s="23" t="s">
        <v>1336</v>
      </c>
      <c r="N6" s="22" t="s">
        <v>1336</v>
      </c>
    </row>
    <row r="7" spans="1:14" ht="262.2" customHeight="1">
      <c r="A7" s="22" t="s">
        <v>1337</v>
      </c>
      <c r="B7" s="22" t="s">
        <v>1327</v>
      </c>
      <c r="C7" s="22" t="s">
        <v>1338</v>
      </c>
      <c r="D7" s="22" t="s">
        <v>1339</v>
      </c>
      <c r="E7" s="22" t="s">
        <v>1340</v>
      </c>
      <c r="F7" s="22" t="s">
        <v>1341</v>
      </c>
      <c r="G7" s="22" t="s">
        <v>1342</v>
      </c>
      <c r="H7" s="22" t="s">
        <v>1333</v>
      </c>
      <c r="I7" s="22" t="s">
        <v>1334</v>
      </c>
      <c r="J7" s="22" t="s">
        <v>1335</v>
      </c>
      <c r="K7" s="22" t="s">
        <v>1343</v>
      </c>
      <c r="L7" s="22" t="s">
        <v>1336</v>
      </c>
      <c r="M7" s="22" t="s">
        <v>1336</v>
      </c>
      <c r="N7" s="55" t="s">
        <v>1336</v>
      </c>
    </row>
    <row r="8" spans="1:14" ht="228" customHeight="1">
      <c r="A8" s="23" t="s">
        <v>1344</v>
      </c>
      <c r="B8" s="23" t="s">
        <v>1327</v>
      </c>
      <c r="C8" s="23" t="s">
        <v>1345</v>
      </c>
      <c r="D8" s="23" t="s">
        <v>1346</v>
      </c>
      <c r="E8" s="23" t="s">
        <v>1347</v>
      </c>
      <c r="F8" s="23" t="s">
        <v>1348</v>
      </c>
      <c r="G8" s="23" t="s">
        <v>1349</v>
      </c>
      <c r="H8" s="23" t="s">
        <v>1333</v>
      </c>
      <c r="I8" s="23" t="s">
        <v>1334</v>
      </c>
      <c r="J8" s="23" t="s">
        <v>1335</v>
      </c>
      <c r="K8" s="23" t="s">
        <v>1327</v>
      </c>
      <c r="L8" s="23" t="s">
        <v>1336</v>
      </c>
      <c r="M8" s="23" t="s">
        <v>1336</v>
      </c>
      <c r="N8" s="22" t="s">
        <v>1336</v>
      </c>
    </row>
    <row r="9" spans="1:14" ht="409.6" customHeight="1">
      <c r="A9" s="22" t="s">
        <v>30</v>
      </c>
      <c r="B9" s="22" t="s">
        <v>24</v>
      </c>
      <c r="C9" s="22" t="s">
        <v>1047</v>
      </c>
      <c r="D9" s="22" t="s">
        <v>1048</v>
      </c>
      <c r="E9" s="22" t="s">
        <v>1049</v>
      </c>
      <c r="F9" s="22" t="s">
        <v>1350</v>
      </c>
      <c r="G9" s="22" t="s">
        <v>1351</v>
      </c>
      <c r="H9" s="22" t="s">
        <v>1352</v>
      </c>
      <c r="I9" s="22" t="s">
        <v>1353</v>
      </c>
      <c r="J9" s="22" t="s">
        <v>1354</v>
      </c>
      <c r="K9" s="22" t="s">
        <v>23</v>
      </c>
      <c r="L9" s="22" t="s">
        <v>1355</v>
      </c>
      <c r="M9" s="22" t="s">
        <v>1356</v>
      </c>
      <c r="N9" s="55" t="s">
        <v>1357</v>
      </c>
    </row>
    <row r="10" spans="1:14" ht="409.6" customHeight="1">
      <c r="A10" s="23" t="s">
        <v>47</v>
      </c>
      <c r="B10" s="23" t="s">
        <v>24</v>
      </c>
      <c r="C10" s="23" t="s">
        <v>1052</v>
      </c>
      <c r="D10" s="23" t="s">
        <v>1053</v>
      </c>
      <c r="E10" s="23" t="s">
        <v>1054</v>
      </c>
      <c r="F10" s="23" t="s">
        <v>1350</v>
      </c>
      <c r="G10" s="23" t="s">
        <v>1358</v>
      </c>
      <c r="H10" s="23" t="s">
        <v>1352</v>
      </c>
      <c r="I10" s="23" t="s">
        <v>1359</v>
      </c>
      <c r="J10" s="23" t="s">
        <v>1354</v>
      </c>
      <c r="K10" s="23" t="s">
        <v>42</v>
      </c>
      <c r="L10" s="23" t="s">
        <v>1360</v>
      </c>
      <c r="M10" s="23" t="s">
        <v>1361</v>
      </c>
      <c r="N10" s="22" t="s">
        <v>1362</v>
      </c>
    </row>
    <row r="11" spans="1:14" ht="409.6" customHeight="1">
      <c r="A11" s="22" t="s">
        <v>61</v>
      </c>
      <c r="B11" s="22" t="s">
        <v>24</v>
      </c>
      <c r="C11" s="22" t="s">
        <v>1056</v>
      </c>
      <c r="D11" s="22" t="s">
        <v>1057</v>
      </c>
      <c r="E11" s="22" t="s">
        <v>1058</v>
      </c>
      <c r="F11" s="22" t="s">
        <v>1363</v>
      </c>
      <c r="G11" s="22" t="s">
        <v>1364</v>
      </c>
      <c r="H11" s="22" t="s">
        <v>1365</v>
      </c>
      <c r="I11" s="22" t="s">
        <v>1366</v>
      </c>
      <c r="J11" s="22" t="s">
        <v>1354</v>
      </c>
      <c r="K11" s="22" t="s">
        <v>1367</v>
      </c>
      <c r="L11" s="22" t="s">
        <v>1368</v>
      </c>
      <c r="M11" s="22" t="s">
        <v>1369</v>
      </c>
      <c r="N11" s="55" t="s">
        <v>1370</v>
      </c>
    </row>
    <row r="12" spans="1:14" ht="409.6" customHeight="1">
      <c r="A12" s="23" t="s">
        <v>85</v>
      </c>
      <c r="B12" s="23" t="s">
        <v>24</v>
      </c>
      <c r="C12" s="23" t="s">
        <v>1061</v>
      </c>
      <c r="D12" s="23" t="s">
        <v>1062</v>
      </c>
      <c r="E12" s="23" t="s">
        <v>1063</v>
      </c>
      <c r="F12" s="23" t="s">
        <v>1363</v>
      </c>
      <c r="G12" s="23" t="s">
        <v>1371</v>
      </c>
      <c r="H12" s="23" t="s">
        <v>1365</v>
      </c>
      <c r="I12" s="23" t="s">
        <v>1372</v>
      </c>
      <c r="J12" s="23" t="s">
        <v>1354</v>
      </c>
      <c r="K12" s="23" t="s">
        <v>81</v>
      </c>
      <c r="L12" s="23" t="s">
        <v>1373</v>
      </c>
      <c r="M12" s="23" t="s">
        <v>1374</v>
      </c>
      <c r="N12" s="22" t="s">
        <v>1375</v>
      </c>
    </row>
    <row r="13" spans="1:14" ht="409.6" customHeight="1">
      <c r="A13" s="22" t="s">
        <v>98</v>
      </c>
      <c r="B13" s="22" t="s">
        <v>24</v>
      </c>
      <c r="C13" s="22" t="s">
        <v>1065</v>
      </c>
      <c r="D13" s="22" t="s">
        <v>1066</v>
      </c>
      <c r="E13" s="22" t="s">
        <v>1067</v>
      </c>
      <c r="F13" s="22" t="s">
        <v>1363</v>
      </c>
      <c r="G13" s="22" t="s">
        <v>1376</v>
      </c>
      <c r="H13" s="22" t="s">
        <v>1365</v>
      </c>
      <c r="I13" s="22" t="s">
        <v>1377</v>
      </c>
      <c r="J13" s="22" t="s">
        <v>1354</v>
      </c>
      <c r="K13" s="22" t="s">
        <v>1378</v>
      </c>
      <c r="L13" s="22" t="s">
        <v>1379</v>
      </c>
      <c r="M13" s="22" t="s">
        <v>1380</v>
      </c>
      <c r="N13" s="55" t="s">
        <v>1381</v>
      </c>
    </row>
    <row r="14" spans="1:14" ht="409.6" customHeight="1">
      <c r="A14" s="23" t="s">
        <v>133</v>
      </c>
      <c r="B14" s="23" t="s">
        <v>24</v>
      </c>
      <c r="C14" s="23" t="s">
        <v>1069</v>
      </c>
      <c r="D14" s="23" t="s">
        <v>1070</v>
      </c>
      <c r="E14" s="23" t="s">
        <v>1071</v>
      </c>
      <c r="F14" s="23" t="s">
        <v>1363</v>
      </c>
      <c r="G14" s="23" t="s">
        <v>1382</v>
      </c>
      <c r="H14" s="23" t="s">
        <v>1365</v>
      </c>
      <c r="I14" s="23" t="s">
        <v>1383</v>
      </c>
      <c r="J14" s="23" t="s">
        <v>1354</v>
      </c>
      <c r="K14" s="23" t="s">
        <v>1384</v>
      </c>
      <c r="L14" s="23" t="s">
        <v>1385</v>
      </c>
      <c r="M14" s="23" t="s">
        <v>1386</v>
      </c>
      <c r="N14" s="22" t="s">
        <v>1387</v>
      </c>
    </row>
    <row r="15" spans="1:14" ht="409.6" customHeight="1">
      <c r="A15" s="22" t="s">
        <v>199</v>
      </c>
      <c r="B15" s="22" t="s">
        <v>195</v>
      </c>
      <c r="C15" s="22" t="s">
        <v>1388</v>
      </c>
      <c r="D15" s="22" t="s">
        <v>1389</v>
      </c>
      <c r="E15" s="22" t="s">
        <v>1390</v>
      </c>
      <c r="F15" s="22" t="s">
        <v>1363</v>
      </c>
      <c r="G15" s="22" t="s">
        <v>1391</v>
      </c>
      <c r="H15" s="22" t="s">
        <v>1365</v>
      </c>
      <c r="I15" s="22" t="s">
        <v>1392</v>
      </c>
      <c r="J15" s="22" t="s">
        <v>1354</v>
      </c>
      <c r="K15" s="22" t="s">
        <v>1393</v>
      </c>
      <c r="L15" s="22" t="s">
        <v>1394</v>
      </c>
      <c r="M15" s="22" t="s">
        <v>1395</v>
      </c>
      <c r="N15" s="55" t="s">
        <v>1396</v>
      </c>
    </row>
    <row r="16" spans="1:14" ht="409.6" customHeight="1">
      <c r="A16" s="23" t="s">
        <v>244</v>
      </c>
      <c r="B16" s="23" t="s">
        <v>195</v>
      </c>
      <c r="C16" s="23" t="s">
        <v>1088</v>
      </c>
      <c r="D16" s="23" t="s">
        <v>1089</v>
      </c>
      <c r="E16" s="23" t="s">
        <v>1090</v>
      </c>
      <c r="F16" s="23" t="s">
        <v>1363</v>
      </c>
      <c r="G16" s="23" t="s">
        <v>1397</v>
      </c>
      <c r="H16" s="23" t="s">
        <v>1365</v>
      </c>
      <c r="I16" s="23" t="s">
        <v>1398</v>
      </c>
      <c r="J16" s="23" t="s">
        <v>1354</v>
      </c>
      <c r="K16" s="23" t="s">
        <v>240</v>
      </c>
      <c r="L16" s="23" t="s">
        <v>1399</v>
      </c>
      <c r="M16" s="23" t="s">
        <v>1400</v>
      </c>
      <c r="N16" s="22" t="s">
        <v>1401</v>
      </c>
    </row>
    <row r="17" spans="1:14" ht="409.6" customHeight="1">
      <c r="A17" s="22" t="s">
        <v>256</v>
      </c>
      <c r="B17" s="22" t="s">
        <v>195</v>
      </c>
      <c r="C17" s="22" t="s">
        <v>1092</v>
      </c>
      <c r="D17" s="22" t="s">
        <v>1093</v>
      </c>
      <c r="E17" s="22" t="s">
        <v>1094</v>
      </c>
      <c r="F17" s="22" t="s">
        <v>1363</v>
      </c>
      <c r="G17" s="22" t="s">
        <v>1402</v>
      </c>
      <c r="H17" s="22" t="s">
        <v>1365</v>
      </c>
      <c r="I17" s="22" t="s">
        <v>1403</v>
      </c>
      <c r="J17" s="22" t="s">
        <v>1354</v>
      </c>
      <c r="K17" s="22" t="s">
        <v>1404</v>
      </c>
      <c r="L17" s="22" t="s">
        <v>1405</v>
      </c>
      <c r="M17" s="22" t="s">
        <v>1406</v>
      </c>
      <c r="N17" s="55" t="s">
        <v>1407</v>
      </c>
    </row>
    <row r="18" spans="1:14" ht="409.6" customHeight="1">
      <c r="A18" s="23" t="s">
        <v>292</v>
      </c>
      <c r="B18" s="23" t="s">
        <v>195</v>
      </c>
      <c r="C18" s="23" t="s">
        <v>1408</v>
      </c>
      <c r="D18" s="23" t="s">
        <v>1409</v>
      </c>
      <c r="E18" s="23" t="s">
        <v>1410</v>
      </c>
      <c r="F18" s="23" t="s">
        <v>1363</v>
      </c>
      <c r="G18" s="23" t="s">
        <v>1411</v>
      </c>
      <c r="H18" s="23" t="s">
        <v>1365</v>
      </c>
      <c r="I18" s="23" t="s">
        <v>1412</v>
      </c>
      <c r="J18" s="23" t="s">
        <v>1354</v>
      </c>
      <c r="K18" s="23" t="s">
        <v>1413</v>
      </c>
      <c r="L18" s="23" t="s">
        <v>1414</v>
      </c>
      <c r="M18" s="23" t="s">
        <v>1415</v>
      </c>
      <c r="N18" s="22" t="s">
        <v>1416</v>
      </c>
    </row>
    <row r="19" spans="1:14" ht="409.6" customHeight="1">
      <c r="A19" s="22" t="s">
        <v>318</v>
      </c>
      <c r="B19" s="22" t="s">
        <v>195</v>
      </c>
      <c r="C19" s="22" t="s">
        <v>1100</v>
      </c>
      <c r="D19" s="22" t="s">
        <v>1101</v>
      </c>
      <c r="E19" s="22" t="s">
        <v>1102</v>
      </c>
      <c r="F19" s="22" t="s">
        <v>1417</v>
      </c>
      <c r="G19" s="22" t="s">
        <v>1418</v>
      </c>
      <c r="H19" s="22" t="s">
        <v>1419</v>
      </c>
      <c r="I19" s="22" t="s">
        <v>1420</v>
      </c>
      <c r="J19" s="22" t="s">
        <v>1421</v>
      </c>
      <c r="K19" s="22" t="s">
        <v>313</v>
      </c>
      <c r="L19" s="22" t="s">
        <v>1422</v>
      </c>
      <c r="M19" s="22" t="s">
        <v>1423</v>
      </c>
      <c r="N19" s="55" t="s">
        <v>1424</v>
      </c>
    </row>
    <row r="20" spans="1:14" ht="409.6" customHeight="1">
      <c r="A20" s="23" t="s">
        <v>351</v>
      </c>
      <c r="B20" s="23" t="s">
        <v>347</v>
      </c>
      <c r="C20" s="23" t="s">
        <v>1112</v>
      </c>
      <c r="D20" s="23" t="s">
        <v>1113</v>
      </c>
      <c r="E20" s="23" t="s">
        <v>1114</v>
      </c>
      <c r="F20" s="23" t="s">
        <v>1363</v>
      </c>
      <c r="G20" s="23" t="s">
        <v>1425</v>
      </c>
      <c r="H20" s="23" t="s">
        <v>1365</v>
      </c>
      <c r="I20" s="23" t="s">
        <v>1426</v>
      </c>
      <c r="J20" s="23" t="s">
        <v>1354</v>
      </c>
      <c r="K20" s="23" t="s">
        <v>1427</v>
      </c>
      <c r="L20" s="23" t="s">
        <v>1428</v>
      </c>
      <c r="M20" s="23" t="s">
        <v>1429</v>
      </c>
      <c r="N20" s="22" t="s">
        <v>1430</v>
      </c>
    </row>
    <row r="21" spans="1:14" ht="409.6" customHeight="1">
      <c r="A21" s="22" t="s">
        <v>411</v>
      </c>
      <c r="B21" s="22" t="s">
        <v>347</v>
      </c>
      <c r="C21" s="22" t="s">
        <v>1116</v>
      </c>
      <c r="D21" s="22" t="s">
        <v>1117</v>
      </c>
      <c r="E21" s="22" t="s">
        <v>1118</v>
      </c>
      <c r="F21" s="22" t="s">
        <v>1363</v>
      </c>
      <c r="G21" s="22" t="s">
        <v>1431</v>
      </c>
      <c r="H21" s="22" t="s">
        <v>1365</v>
      </c>
      <c r="I21" s="22" t="s">
        <v>1432</v>
      </c>
      <c r="J21" s="22" t="s">
        <v>1354</v>
      </c>
      <c r="K21" s="22" t="s">
        <v>1433</v>
      </c>
      <c r="L21" s="22" t="s">
        <v>1434</v>
      </c>
      <c r="M21" s="22" t="s">
        <v>1435</v>
      </c>
      <c r="N21" s="55" t="s">
        <v>1436</v>
      </c>
    </row>
    <row r="22" spans="1:14" ht="409.6" customHeight="1">
      <c r="A22" s="23" t="s">
        <v>399</v>
      </c>
      <c r="B22" s="23" t="s">
        <v>347</v>
      </c>
      <c r="C22" s="23" t="s">
        <v>1120</v>
      </c>
      <c r="D22" s="23" t="s">
        <v>1121</v>
      </c>
      <c r="E22" s="23" t="s">
        <v>1122</v>
      </c>
      <c r="F22" s="23" t="s">
        <v>1363</v>
      </c>
      <c r="G22" s="23" t="s">
        <v>1437</v>
      </c>
      <c r="H22" s="23" t="s">
        <v>1365</v>
      </c>
      <c r="I22" s="23" t="s">
        <v>1438</v>
      </c>
      <c r="J22" s="23" t="s">
        <v>1354</v>
      </c>
      <c r="K22" s="23" t="s">
        <v>1439</v>
      </c>
      <c r="L22" s="23" t="s">
        <v>1440</v>
      </c>
      <c r="M22" s="23" t="s">
        <v>1441</v>
      </c>
      <c r="N22" s="22" t="s">
        <v>1442</v>
      </c>
    </row>
    <row r="23" spans="1:14" ht="409.6" customHeight="1">
      <c r="A23" s="22" t="s">
        <v>469</v>
      </c>
      <c r="B23" s="22" t="s">
        <v>347</v>
      </c>
      <c r="C23" s="22" t="s">
        <v>1124</v>
      </c>
      <c r="D23" s="22" t="s">
        <v>1125</v>
      </c>
      <c r="E23" s="22" t="s">
        <v>1126</v>
      </c>
      <c r="F23" s="22" t="s">
        <v>1363</v>
      </c>
      <c r="G23" s="22" t="s">
        <v>1443</v>
      </c>
      <c r="H23" s="22" t="s">
        <v>1365</v>
      </c>
      <c r="I23" s="22" t="s">
        <v>1444</v>
      </c>
      <c r="J23" s="22" t="s">
        <v>1354</v>
      </c>
      <c r="K23" s="22" t="s">
        <v>465</v>
      </c>
      <c r="L23" s="22" t="s">
        <v>1445</v>
      </c>
      <c r="M23" s="22" t="s">
        <v>1446</v>
      </c>
      <c r="N23" s="55" t="s">
        <v>1447</v>
      </c>
    </row>
    <row r="24" spans="1:14" ht="409.6" customHeight="1">
      <c r="A24" s="23" t="s">
        <v>503</v>
      </c>
      <c r="B24" s="23" t="s">
        <v>499</v>
      </c>
      <c r="C24" s="23" t="s">
        <v>1134</v>
      </c>
      <c r="D24" s="23" t="s">
        <v>1135</v>
      </c>
      <c r="E24" s="23" t="s">
        <v>1136</v>
      </c>
      <c r="F24" s="23" t="s">
        <v>1363</v>
      </c>
      <c r="G24" s="23" t="s">
        <v>1448</v>
      </c>
      <c r="H24" s="23" t="s">
        <v>1365</v>
      </c>
      <c r="I24" s="23" t="s">
        <v>1449</v>
      </c>
      <c r="J24" s="23" t="s">
        <v>1354</v>
      </c>
      <c r="K24" s="23" t="s">
        <v>1450</v>
      </c>
      <c r="L24" s="23" t="s">
        <v>1451</v>
      </c>
      <c r="M24" s="23" t="s">
        <v>1452</v>
      </c>
      <c r="N24" s="22" t="s">
        <v>1453</v>
      </c>
    </row>
    <row r="25" spans="1:14" ht="409.6" customHeight="1">
      <c r="A25" s="22" t="s">
        <v>524</v>
      </c>
      <c r="B25" s="22" t="s">
        <v>499</v>
      </c>
      <c r="C25" s="22" t="s">
        <v>1138</v>
      </c>
      <c r="D25" s="22" t="s">
        <v>1139</v>
      </c>
      <c r="E25" s="22" t="s">
        <v>1140</v>
      </c>
      <c r="F25" s="22" t="s">
        <v>1363</v>
      </c>
      <c r="G25" s="22" t="s">
        <v>1454</v>
      </c>
      <c r="H25" s="22" t="s">
        <v>1365</v>
      </c>
      <c r="I25" s="22" t="s">
        <v>1455</v>
      </c>
      <c r="J25" s="22" t="s">
        <v>1354</v>
      </c>
      <c r="K25" s="22" t="s">
        <v>1456</v>
      </c>
      <c r="L25" s="22" t="s">
        <v>1457</v>
      </c>
      <c r="M25" s="22" t="s">
        <v>1458</v>
      </c>
      <c r="N25" s="55" t="s">
        <v>1459</v>
      </c>
    </row>
    <row r="26" spans="1:14" ht="409.6" customHeight="1">
      <c r="A26" s="23" t="s">
        <v>445</v>
      </c>
      <c r="B26" s="23" t="s">
        <v>499</v>
      </c>
      <c r="C26" s="23" t="s">
        <v>1142</v>
      </c>
      <c r="D26" s="23" t="s">
        <v>1143</v>
      </c>
      <c r="E26" s="23" t="s">
        <v>1144</v>
      </c>
      <c r="F26" s="23" t="s">
        <v>1363</v>
      </c>
      <c r="G26" s="23" t="s">
        <v>1460</v>
      </c>
      <c r="H26" s="23" t="s">
        <v>1365</v>
      </c>
      <c r="I26" s="23" t="s">
        <v>1461</v>
      </c>
      <c r="J26" s="23" t="s">
        <v>1354</v>
      </c>
      <c r="K26" s="23" t="s">
        <v>1462</v>
      </c>
      <c r="L26" s="23" t="s">
        <v>1463</v>
      </c>
      <c r="M26" s="23" t="s">
        <v>1464</v>
      </c>
      <c r="N26" s="22" t="s">
        <v>1465</v>
      </c>
    </row>
    <row r="27" spans="1:14" ht="409.6" customHeight="1">
      <c r="A27" s="22" t="s">
        <v>615</v>
      </c>
      <c r="B27" s="22" t="s">
        <v>499</v>
      </c>
      <c r="C27" s="22" t="s">
        <v>1146</v>
      </c>
      <c r="D27" s="22" t="s">
        <v>1147</v>
      </c>
      <c r="E27" s="22" t="s">
        <v>1148</v>
      </c>
      <c r="F27" s="22" t="s">
        <v>1363</v>
      </c>
      <c r="G27" s="22" t="s">
        <v>1466</v>
      </c>
      <c r="H27" s="22" t="s">
        <v>1365</v>
      </c>
      <c r="I27" s="22" t="s">
        <v>1467</v>
      </c>
      <c r="J27" s="22" t="s">
        <v>1354</v>
      </c>
      <c r="K27" s="22" t="s">
        <v>611</v>
      </c>
      <c r="L27" s="22" t="s">
        <v>1468</v>
      </c>
      <c r="M27" s="22" t="s">
        <v>1469</v>
      </c>
      <c r="N27" s="55" t="s">
        <v>1470</v>
      </c>
    </row>
    <row r="28" spans="1:14" ht="409.6" customHeight="1">
      <c r="A28" s="23" t="s">
        <v>649</v>
      </c>
      <c r="B28" s="23" t="s">
        <v>645</v>
      </c>
      <c r="C28" s="23" t="s">
        <v>1156</v>
      </c>
      <c r="D28" s="23" t="s">
        <v>1157</v>
      </c>
      <c r="E28" s="23" t="s">
        <v>1158</v>
      </c>
      <c r="F28" s="23" t="s">
        <v>1350</v>
      </c>
      <c r="G28" s="23" t="s">
        <v>1471</v>
      </c>
      <c r="H28" s="23" t="s">
        <v>1352</v>
      </c>
      <c r="I28" s="23" t="s">
        <v>1472</v>
      </c>
      <c r="J28" s="23" t="s">
        <v>1354</v>
      </c>
      <c r="K28" s="23" t="s">
        <v>644</v>
      </c>
      <c r="L28" s="23" t="s">
        <v>1473</v>
      </c>
      <c r="M28" s="23" t="s">
        <v>1474</v>
      </c>
      <c r="N28" s="22" t="s">
        <v>1475</v>
      </c>
    </row>
    <row r="29" spans="1:14" ht="409.6" customHeight="1">
      <c r="A29" s="22" t="s">
        <v>662</v>
      </c>
      <c r="B29" s="22" t="s">
        <v>645</v>
      </c>
      <c r="C29" s="22" t="s">
        <v>1476</v>
      </c>
      <c r="D29" s="22" t="s">
        <v>1477</v>
      </c>
      <c r="E29" s="22" t="s">
        <v>1478</v>
      </c>
      <c r="F29" s="22" t="s">
        <v>1479</v>
      </c>
      <c r="G29" s="22" t="s">
        <v>1480</v>
      </c>
      <c r="H29" s="22" t="s">
        <v>1365</v>
      </c>
      <c r="I29" s="22" t="s">
        <v>1481</v>
      </c>
      <c r="J29" s="22" t="s">
        <v>1354</v>
      </c>
      <c r="K29" s="22" t="s">
        <v>1482</v>
      </c>
      <c r="L29" s="22" t="s">
        <v>1483</v>
      </c>
      <c r="M29" s="22" t="s">
        <v>1484</v>
      </c>
      <c r="N29" s="55" t="s">
        <v>1485</v>
      </c>
    </row>
    <row r="30" spans="1:14" ht="409.6" customHeight="1">
      <c r="A30" s="23" t="s">
        <v>727</v>
      </c>
      <c r="B30" s="23" t="s">
        <v>645</v>
      </c>
      <c r="C30" s="23" t="s">
        <v>1164</v>
      </c>
      <c r="D30" s="23" t="s">
        <v>1165</v>
      </c>
      <c r="E30" s="23" t="s">
        <v>1166</v>
      </c>
      <c r="F30" s="23" t="s">
        <v>1363</v>
      </c>
      <c r="G30" s="23" t="s">
        <v>1486</v>
      </c>
      <c r="H30" s="23" t="s">
        <v>1365</v>
      </c>
      <c r="I30" s="23" t="s">
        <v>1487</v>
      </c>
      <c r="J30" s="23" t="s">
        <v>1354</v>
      </c>
      <c r="K30" s="23" t="s">
        <v>1488</v>
      </c>
      <c r="L30" s="23" t="s">
        <v>1489</v>
      </c>
      <c r="M30" s="23" t="s">
        <v>1490</v>
      </c>
      <c r="N30" s="22" t="s">
        <v>1491</v>
      </c>
    </row>
    <row r="31" spans="1:14" ht="409.6" customHeight="1">
      <c r="A31" s="22" t="s">
        <v>713</v>
      </c>
      <c r="B31" s="22" t="s">
        <v>645</v>
      </c>
      <c r="C31" s="22" t="s">
        <v>1168</v>
      </c>
      <c r="D31" s="22" t="s">
        <v>1169</v>
      </c>
      <c r="E31" s="22" t="s">
        <v>1170</v>
      </c>
      <c r="F31" s="22" t="s">
        <v>1363</v>
      </c>
      <c r="G31" s="22" t="s">
        <v>1492</v>
      </c>
      <c r="H31" s="22" t="s">
        <v>1365</v>
      </c>
      <c r="I31" s="22" t="s">
        <v>1493</v>
      </c>
      <c r="J31" s="22" t="s">
        <v>1354</v>
      </c>
      <c r="K31" s="22" t="s">
        <v>709</v>
      </c>
      <c r="L31" s="22" t="s">
        <v>1494</v>
      </c>
      <c r="M31" s="22" t="s">
        <v>1495</v>
      </c>
      <c r="N31" s="55" t="s">
        <v>1496</v>
      </c>
    </row>
    <row r="32" spans="1:14" ht="409.6" customHeight="1">
      <c r="A32" s="23" t="s">
        <v>750</v>
      </c>
      <c r="B32" s="23" t="s">
        <v>645</v>
      </c>
      <c r="C32" s="23" t="s">
        <v>1172</v>
      </c>
      <c r="D32" s="23" t="s">
        <v>1173</v>
      </c>
      <c r="E32" s="23" t="s">
        <v>1174</v>
      </c>
      <c r="F32" s="23" t="s">
        <v>1363</v>
      </c>
      <c r="G32" s="23" t="s">
        <v>1497</v>
      </c>
      <c r="H32" s="23" t="s">
        <v>1365</v>
      </c>
      <c r="I32" s="23" t="s">
        <v>1498</v>
      </c>
      <c r="J32" s="23" t="s">
        <v>1354</v>
      </c>
      <c r="K32" s="23" t="s">
        <v>1499</v>
      </c>
      <c r="L32" s="23" t="s">
        <v>1500</v>
      </c>
      <c r="M32" s="23" t="s">
        <v>1501</v>
      </c>
      <c r="N32" s="22" t="s">
        <v>1502</v>
      </c>
    </row>
    <row r="33" spans="1:14" ht="409.6" customHeight="1">
      <c r="A33" s="22" t="s">
        <v>828</v>
      </c>
      <c r="B33" s="22" t="s">
        <v>812</v>
      </c>
      <c r="C33" s="22" t="s">
        <v>1182</v>
      </c>
      <c r="D33" s="22" t="s">
        <v>1183</v>
      </c>
      <c r="E33" s="22" t="s">
        <v>1184</v>
      </c>
      <c r="F33" s="22" t="s">
        <v>1363</v>
      </c>
      <c r="G33" s="22" t="s">
        <v>2604</v>
      </c>
      <c r="H33" s="22" t="s">
        <v>1365</v>
      </c>
      <c r="I33" s="22" t="s">
        <v>1503</v>
      </c>
      <c r="J33" s="22" t="s">
        <v>1354</v>
      </c>
      <c r="K33" s="22" t="s">
        <v>1504</v>
      </c>
      <c r="L33" s="22" t="s">
        <v>1505</v>
      </c>
      <c r="M33" s="22" t="s">
        <v>2605</v>
      </c>
      <c r="N33" s="55" t="s">
        <v>1506</v>
      </c>
    </row>
    <row r="34" spans="1:14" ht="409.6" customHeight="1">
      <c r="A34" s="23" t="s">
        <v>873</v>
      </c>
      <c r="B34" s="23" t="s">
        <v>812</v>
      </c>
      <c r="C34" s="23" t="s">
        <v>2606</v>
      </c>
      <c r="D34" s="23" t="s">
        <v>2607</v>
      </c>
      <c r="E34" s="23" t="s">
        <v>2608</v>
      </c>
      <c r="F34" s="23" t="s">
        <v>2609</v>
      </c>
      <c r="G34" s="23" t="s">
        <v>2610</v>
      </c>
      <c r="H34" s="23" t="s">
        <v>2611</v>
      </c>
      <c r="I34" s="23" t="s">
        <v>1507</v>
      </c>
      <c r="J34" s="23" t="s">
        <v>2612</v>
      </c>
      <c r="K34" s="23" t="s">
        <v>2613</v>
      </c>
      <c r="L34" s="23" t="s">
        <v>2633</v>
      </c>
      <c r="M34" s="23" t="s">
        <v>2634</v>
      </c>
      <c r="N34" s="22" t="s">
        <v>2636</v>
      </c>
    </row>
    <row r="35" spans="1:14" ht="409.6" customHeight="1">
      <c r="A35" s="22" t="s">
        <v>920</v>
      </c>
      <c r="B35" s="22" t="s">
        <v>812</v>
      </c>
      <c r="C35" s="22" t="s">
        <v>2614</v>
      </c>
      <c r="D35" s="22" t="s">
        <v>2615</v>
      </c>
      <c r="E35" s="22" t="s">
        <v>2616</v>
      </c>
      <c r="F35" s="22" t="s">
        <v>2617</v>
      </c>
      <c r="G35" s="22" t="s">
        <v>2618</v>
      </c>
      <c r="H35" s="22" t="s">
        <v>2619</v>
      </c>
      <c r="I35" s="22" t="s">
        <v>1508</v>
      </c>
      <c r="J35" s="22" t="s">
        <v>2620</v>
      </c>
      <c r="K35" s="22" t="s">
        <v>2621</v>
      </c>
      <c r="L35" s="22" t="s">
        <v>2637</v>
      </c>
      <c r="M35" s="22" t="s">
        <v>2638</v>
      </c>
      <c r="N35" s="55" t="s">
        <v>2635</v>
      </c>
    </row>
    <row r="36" spans="1:14" ht="409.6" customHeight="1">
      <c r="A36" s="23" t="s">
        <v>2622</v>
      </c>
      <c r="B36" s="23" t="s">
        <v>812</v>
      </c>
      <c r="C36" s="23" t="s">
        <v>2623</v>
      </c>
      <c r="D36" s="23" t="s">
        <v>2624</v>
      </c>
      <c r="E36" s="23" t="s">
        <v>2625</v>
      </c>
      <c r="F36" s="23" t="s">
        <v>2626</v>
      </c>
      <c r="G36" s="23" t="s">
        <v>2627</v>
      </c>
      <c r="H36" s="23" t="s">
        <v>2628</v>
      </c>
      <c r="I36" s="23" t="s">
        <v>2629</v>
      </c>
      <c r="J36" s="23" t="s">
        <v>2630</v>
      </c>
      <c r="K36" s="23" t="s">
        <v>2631</v>
      </c>
      <c r="L36" s="23" t="s">
        <v>2639</v>
      </c>
      <c r="M36" s="23" t="s">
        <v>2640</v>
      </c>
      <c r="N36" s="22" t="s">
        <v>2632</v>
      </c>
    </row>
    <row r="37" spans="1:14" ht="409.6" customHeight="1">
      <c r="A37" s="23" t="s">
        <v>171</v>
      </c>
      <c r="B37" s="23" t="s">
        <v>24</v>
      </c>
      <c r="C37" s="23" t="s">
        <v>1509</v>
      </c>
      <c r="D37" s="23" t="s">
        <v>1510</v>
      </c>
      <c r="E37" s="23" t="s">
        <v>1511</v>
      </c>
      <c r="F37" s="23" t="s">
        <v>1512</v>
      </c>
      <c r="G37" s="23" t="s">
        <v>1513</v>
      </c>
      <c r="H37" s="23" t="s">
        <v>1352</v>
      </c>
      <c r="I37" s="23" t="s">
        <v>1514</v>
      </c>
      <c r="J37" s="23" t="s">
        <v>1354</v>
      </c>
      <c r="K37" s="23" t="s">
        <v>167</v>
      </c>
      <c r="L37" s="23" t="s">
        <v>1515</v>
      </c>
      <c r="M37" s="23" t="s">
        <v>1516</v>
      </c>
      <c r="N37" s="22" t="s">
        <v>1517</v>
      </c>
    </row>
    <row r="38" spans="1:14" ht="409.6" customHeight="1">
      <c r="A38" s="23" t="s">
        <v>329</v>
      </c>
      <c r="B38" s="23" t="s">
        <v>195</v>
      </c>
      <c r="C38" s="23" t="s">
        <v>1518</v>
      </c>
      <c r="D38" s="23" t="s">
        <v>1519</v>
      </c>
      <c r="E38" s="23" t="s">
        <v>1520</v>
      </c>
      <c r="F38" s="23" t="s">
        <v>1512</v>
      </c>
      <c r="G38" s="23" t="s">
        <v>1521</v>
      </c>
      <c r="H38" s="23" t="s">
        <v>1352</v>
      </c>
      <c r="I38" s="23" t="s">
        <v>1522</v>
      </c>
      <c r="J38" s="23" t="s">
        <v>1354</v>
      </c>
      <c r="K38" s="23" t="s">
        <v>326</v>
      </c>
      <c r="L38" s="23" t="s">
        <v>1523</v>
      </c>
      <c r="M38" s="23" t="s">
        <v>1524</v>
      </c>
      <c r="N38" s="22" t="s">
        <v>1525</v>
      </c>
    </row>
    <row r="39" spans="1:14" ht="409.6" customHeight="1">
      <c r="A39" s="23" t="s">
        <v>480</v>
      </c>
      <c r="B39" s="23" t="s">
        <v>347</v>
      </c>
      <c r="C39" s="23" t="s">
        <v>1526</v>
      </c>
      <c r="D39" s="23" t="s">
        <v>1527</v>
      </c>
      <c r="E39" s="23" t="s">
        <v>1528</v>
      </c>
      <c r="F39" s="23" t="s">
        <v>1512</v>
      </c>
      <c r="G39" s="23" t="s">
        <v>1529</v>
      </c>
      <c r="H39" s="23" t="s">
        <v>1352</v>
      </c>
      <c r="I39" s="23" t="s">
        <v>1530</v>
      </c>
      <c r="J39" s="23" t="s">
        <v>1354</v>
      </c>
      <c r="K39" s="23" t="s">
        <v>477</v>
      </c>
      <c r="L39" s="23" t="s">
        <v>1531</v>
      </c>
      <c r="M39" s="23" t="s">
        <v>1532</v>
      </c>
      <c r="N39" s="22" t="s">
        <v>1533</v>
      </c>
    </row>
    <row r="40" spans="1:14" ht="409.6" customHeight="1">
      <c r="A40" s="23" t="s">
        <v>626</v>
      </c>
      <c r="B40" s="23" t="s">
        <v>499</v>
      </c>
      <c r="C40" s="23" t="s">
        <v>1534</v>
      </c>
      <c r="D40" s="23" t="s">
        <v>1535</v>
      </c>
      <c r="E40" s="23" t="s">
        <v>1536</v>
      </c>
      <c r="F40" s="23" t="s">
        <v>1512</v>
      </c>
      <c r="G40" s="23" t="s">
        <v>1537</v>
      </c>
      <c r="H40" s="23" t="s">
        <v>1352</v>
      </c>
      <c r="I40" s="23" t="s">
        <v>1538</v>
      </c>
      <c r="J40" s="23" t="s">
        <v>1354</v>
      </c>
      <c r="K40" s="23" t="s">
        <v>623</v>
      </c>
      <c r="L40" s="23" t="s">
        <v>1539</v>
      </c>
      <c r="M40" s="23" t="s">
        <v>1540</v>
      </c>
      <c r="N40" s="22" t="s">
        <v>1541</v>
      </c>
    </row>
    <row r="41" spans="1:14" ht="409.6" customHeight="1">
      <c r="A41" s="23" t="s">
        <v>792</v>
      </c>
      <c r="B41" s="23" t="s">
        <v>645</v>
      </c>
      <c r="C41" s="23" t="s">
        <v>1542</v>
      </c>
      <c r="D41" s="23" t="s">
        <v>1543</v>
      </c>
      <c r="E41" s="23" t="s">
        <v>1544</v>
      </c>
      <c r="F41" s="23" t="s">
        <v>1512</v>
      </c>
      <c r="G41" s="23" t="s">
        <v>1545</v>
      </c>
      <c r="H41" s="23" t="s">
        <v>1352</v>
      </c>
      <c r="I41" s="23" t="s">
        <v>1546</v>
      </c>
      <c r="J41" s="23" t="s">
        <v>1354</v>
      </c>
      <c r="K41" s="23" t="s">
        <v>789</v>
      </c>
      <c r="L41" s="23" t="s">
        <v>1547</v>
      </c>
      <c r="M41" s="23" t="s">
        <v>1548</v>
      </c>
      <c r="N41" s="22" t="s">
        <v>1549</v>
      </c>
    </row>
    <row r="42" spans="1:14" ht="409.6" customHeight="1">
      <c r="A42" s="22" t="s">
        <v>1550</v>
      </c>
      <c r="B42" s="22" t="s">
        <v>1551</v>
      </c>
      <c r="C42" s="22" t="s">
        <v>1552</v>
      </c>
      <c r="D42" s="22" t="s">
        <v>1553</v>
      </c>
      <c r="E42" s="22" t="s">
        <v>1554</v>
      </c>
      <c r="F42" s="22" t="s">
        <v>1363</v>
      </c>
      <c r="G42" s="22" t="s">
        <v>1555</v>
      </c>
      <c r="H42" s="22" t="s">
        <v>1365</v>
      </c>
      <c r="I42" s="22" t="s">
        <v>1556</v>
      </c>
      <c r="J42" s="22" t="s">
        <v>1354</v>
      </c>
      <c r="K42" s="22" t="s">
        <v>1551</v>
      </c>
      <c r="L42" s="22" t="s">
        <v>1557</v>
      </c>
      <c r="M42" s="22" t="s">
        <v>1558</v>
      </c>
      <c r="N42" s="55" t="s">
        <v>1559</v>
      </c>
    </row>
    <row r="43" spans="1:14" ht="409.6" customHeight="1">
      <c r="A43" s="23" t="s">
        <v>1560</v>
      </c>
      <c r="B43" s="23" t="s">
        <v>1551</v>
      </c>
      <c r="C43" s="23" t="s">
        <v>1561</v>
      </c>
      <c r="D43" s="23" t="s">
        <v>1562</v>
      </c>
      <c r="E43" s="23" t="s">
        <v>1563</v>
      </c>
      <c r="F43" s="23" t="s">
        <v>1363</v>
      </c>
      <c r="G43" s="23" t="s">
        <v>1564</v>
      </c>
      <c r="H43" s="23" t="s">
        <v>1365</v>
      </c>
      <c r="I43" s="23" t="s">
        <v>1565</v>
      </c>
      <c r="J43" s="23" t="s">
        <v>1354</v>
      </c>
      <c r="K43" s="23" t="s">
        <v>1551</v>
      </c>
      <c r="L43" s="23" t="s">
        <v>1566</v>
      </c>
      <c r="M43" s="23" t="s">
        <v>1567</v>
      </c>
      <c r="N43" s="22" t="s">
        <v>1568</v>
      </c>
    </row>
    <row r="44" spans="1:14" ht="409.6" customHeight="1">
      <c r="A44" s="27" t="s">
        <v>1569</v>
      </c>
      <c r="B44" s="27" t="s">
        <v>24</v>
      </c>
      <c r="C44" s="27" t="s">
        <v>1570</v>
      </c>
      <c r="D44" s="27" t="s">
        <v>1571</v>
      </c>
      <c r="E44" s="27" t="s">
        <v>1572</v>
      </c>
      <c r="F44" s="27" t="s">
        <v>1417</v>
      </c>
      <c r="G44" s="28" t="s">
        <v>1573</v>
      </c>
      <c r="H44" s="27" t="s">
        <v>1352</v>
      </c>
      <c r="I44" s="27" t="s">
        <v>1574</v>
      </c>
      <c r="J44" s="27" t="s">
        <v>1354</v>
      </c>
      <c r="K44" s="27" t="s">
        <v>1575</v>
      </c>
      <c r="L44" s="27" t="s">
        <v>1576</v>
      </c>
      <c r="M44" s="27" t="s">
        <v>1577</v>
      </c>
      <c r="N44" s="55" t="s">
        <v>1578</v>
      </c>
    </row>
    <row r="45" spans="1:14" ht="319.95" customHeight="1">
      <c r="A45" s="27" t="s">
        <v>185</v>
      </c>
      <c r="B45" s="27" t="s">
        <v>1579</v>
      </c>
      <c r="C45" s="27" t="s">
        <v>1580</v>
      </c>
      <c r="D45" s="27" t="s">
        <v>1581</v>
      </c>
      <c r="E45" s="27" t="s">
        <v>1582</v>
      </c>
      <c r="F45" s="27" t="s">
        <v>1583</v>
      </c>
      <c r="G45" s="28" t="s">
        <v>1584</v>
      </c>
      <c r="H45" s="27" t="s">
        <v>1585</v>
      </c>
      <c r="I45" s="27" t="s">
        <v>1586</v>
      </c>
      <c r="J45" s="27" t="s">
        <v>1421</v>
      </c>
      <c r="K45" s="27" t="s">
        <v>1587</v>
      </c>
      <c r="L45" s="27" t="s">
        <v>1588</v>
      </c>
      <c r="M45" s="27" t="s">
        <v>1589</v>
      </c>
      <c r="N45" s="22" t="s">
        <v>1590</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workbookViewId="0"/>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66" t="s">
        <v>1591</v>
      </c>
      <c r="B1" s="67"/>
      <c r="C1" s="67"/>
      <c r="D1" s="67"/>
      <c r="E1" s="67"/>
      <c r="F1" s="67"/>
      <c r="G1" s="67"/>
      <c r="H1" s="67"/>
      <c r="I1" s="67"/>
      <c r="J1" s="67"/>
      <c r="K1" s="67"/>
      <c r="L1" s="67"/>
    </row>
    <row r="2" spans="1:12" ht="31.95" customHeight="1">
      <c r="A2" s="75" t="s">
        <v>1592</v>
      </c>
      <c r="B2" s="67"/>
      <c r="C2" s="67"/>
      <c r="D2" s="67"/>
      <c r="E2" s="67"/>
      <c r="F2" s="67"/>
      <c r="G2" s="67"/>
      <c r="H2" s="67"/>
      <c r="I2" s="67"/>
      <c r="J2" s="67"/>
      <c r="K2" s="67"/>
      <c r="L2" s="67"/>
    </row>
    <row r="5" spans="1:12" ht="28.05" customHeight="1">
      <c r="A5" s="1" t="s">
        <v>1593</v>
      </c>
      <c r="B5" s="2" t="s">
        <v>3</v>
      </c>
      <c r="C5" s="2" t="s">
        <v>1594</v>
      </c>
      <c r="D5" s="2" t="s">
        <v>26</v>
      </c>
      <c r="E5" s="2" t="s">
        <v>1595</v>
      </c>
      <c r="F5" s="2" t="s">
        <v>15</v>
      </c>
      <c r="G5" s="2" t="s">
        <v>16</v>
      </c>
      <c r="H5" s="2" t="s">
        <v>20</v>
      </c>
      <c r="I5" s="2" t="s">
        <v>1596</v>
      </c>
      <c r="J5" s="2" t="s">
        <v>1597</v>
      </c>
      <c r="K5" s="2" t="s">
        <v>1598</v>
      </c>
      <c r="L5" s="3" t="s">
        <v>1599</v>
      </c>
    </row>
    <row r="6" spans="1:12" ht="45.6" customHeight="1">
      <c r="A6" s="10" t="s">
        <v>1600</v>
      </c>
      <c r="B6" s="10" t="s">
        <v>24</v>
      </c>
      <c r="C6" s="10" t="s">
        <v>1601</v>
      </c>
      <c r="D6" s="10" t="s">
        <v>1602</v>
      </c>
      <c r="E6" s="10" t="s">
        <v>1603</v>
      </c>
      <c r="F6" s="10" t="s">
        <v>1604</v>
      </c>
      <c r="G6" s="10" t="s">
        <v>90</v>
      </c>
      <c r="H6" s="10" t="s">
        <v>1605</v>
      </c>
      <c r="I6" s="17">
        <v>46252</v>
      </c>
      <c r="J6" s="10" t="s">
        <v>1606</v>
      </c>
      <c r="K6" s="10" t="s">
        <v>1607</v>
      </c>
      <c r="L6" s="10" t="s">
        <v>1608</v>
      </c>
    </row>
    <row r="7" spans="1:12" ht="45.6" customHeight="1">
      <c r="A7" s="11" t="s">
        <v>1609</v>
      </c>
      <c r="B7" s="11" t="s">
        <v>24</v>
      </c>
      <c r="C7" s="11" t="s">
        <v>1042</v>
      </c>
      <c r="D7" s="11" t="s">
        <v>1610</v>
      </c>
      <c r="E7" s="11" t="s">
        <v>76</v>
      </c>
      <c r="F7" s="11" t="s">
        <v>1611</v>
      </c>
      <c r="G7" s="11" t="s">
        <v>78</v>
      </c>
      <c r="H7" s="11" t="s">
        <v>1605</v>
      </c>
      <c r="I7" s="18">
        <v>46252</v>
      </c>
      <c r="J7" s="11" t="s">
        <v>1612</v>
      </c>
      <c r="K7" s="11" t="s">
        <v>1607</v>
      </c>
      <c r="L7" s="11" t="s">
        <v>1608</v>
      </c>
    </row>
    <row r="8" spans="1:12" ht="57" customHeight="1">
      <c r="A8" s="11" t="s">
        <v>1613</v>
      </c>
      <c r="B8" s="11" t="s">
        <v>24</v>
      </c>
      <c r="C8" s="11" t="s">
        <v>1614</v>
      </c>
      <c r="D8" s="11" t="s">
        <v>1615</v>
      </c>
      <c r="E8" s="11" t="s">
        <v>124</v>
      </c>
      <c r="F8" s="11" t="s">
        <v>1616</v>
      </c>
      <c r="G8" s="11" t="s">
        <v>126</v>
      </c>
      <c r="H8" s="11" t="s">
        <v>1605</v>
      </c>
      <c r="I8" s="18">
        <v>46252</v>
      </c>
      <c r="J8" s="11" t="s">
        <v>1617</v>
      </c>
      <c r="K8" s="11" t="s">
        <v>1618</v>
      </c>
      <c r="L8" s="11" t="s">
        <v>1608</v>
      </c>
    </row>
    <row r="9" spans="1:12" ht="45.6" customHeight="1">
      <c r="A9" s="11" t="s">
        <v>1619</v>
      </c>
      <c r="B9" s="11" t="s">
        <v>24</v>
      </c>
      <c r="C9" s="11" t="s">
        <v>1620</v>
      </c>
      <c r="D9" s="11" t="s">
        <v>1621</v>
      </c>
      <c r="E9" s="11" t="s">
        <v>161</v>
      </c>
      <c r="F9" s="11" t="s">
        <v>1622</v>
      </c>
      <c r="G9" s="11" t="s">
        <v>163</v>
      </c>
      <c r="H9" s="11" t="s">
        <v>1605</v>
      </c>
      <c r="I9" s="18">
        <v>46252</v>
      </c>
      <c r="J9" s="11" t="s">
        <v>1623</v>
      </c>
      <c r="K9" s="11" t="s">
        <v>1624</v>
      </c>
      <c r="L9" s="11" t="s">
        <v>1608</v>
      </c>
    </row>
    <row r="10" spans="1:12">
      <c r="A10" s="11" t="s">
        <v>1625</v>
      </c>
      <c r="B10" s="11" t="s">
        <v>195</v>
      </c>
      <c r="C10" s="11" t="s">
        <v>1601</v>
      </c>
      <c r="D10" s="11" t="s">
        <v>1626</v>
      </c>
      <c r="E10" s="11" t="s">
        <v>202</v>
      </c>
      <c r="F10" s="11" t="s">
        <v>1627</v>
      </c>
      <c r="G10" s="11" t="s">
        <v>1628</v>
      </c>
      <c r="H10" s="11" t="s">
        <v>1629</v>
      </c>
      <c r="I10" s="18"/>
      <c r="J10" s="11"/>
      <c r="K10" s="11"/>
      <c r="L10" s="11"/>
    </row>
    <row r="11" spans="1:12">
      <c r="A11" s="11" t="s">
        <v>1630</v>
      </c>
      <c r="B11" s="11" t="s">
        <v>195</v>
      </c>
      <c r="C11" s="11" t="s">
        <v>1631</v>
      </c>
      <c r="D11" s="11" t="s">
        <v>1632</v>
      </c>
      <c r="E11" s="11" t="s">
        <v>1633</v>
      </c>
      <c r="F11" s="11" t="s">
        <v>1634</v>
      </c>
      <c r="G11" s="11" t="s">
        <v>1635</v>
      </c>
      <c r="H11" s="11" t="s">
        <v>1629</v>
      </c>
      <c r="I11" s="18"/>
      <c r="J11" s="11"/>
      <c r="K11" s="11"/>
      <c r="L11" s="11"/>
    </row>
    <row r="12" spans="1:12">
      <c r="A12" s="11" t="s">
        <v>1636</v>
      </c>
      <c r="B12" s="11" t="s">
        <v>195</v>
      </c>
      <c r="C12" s="11" t="s">
        <v>1601</v>
      </c>
      <c r="D12" s="11" t="s">
        <v>1637</v>
      </c>
      <c r="E12" s="11" t="s">
        <v>247</v>
      </c>
      <c r="F12" s="11" t="s">
        <v>1638</v>
      </c>
      <c r="G12" s="11" t="s">
        <v>1639</v>
      </c>
      <c r="H12" s="11" t="s">
        <v>1629</v>
      </c>
      <c r="I12" s="18"/>
      <c r="J12" s="11"/>
      <c r="K12" s="11"/>
      <c r="L12" s="11"/>
    </row>
    <row r="13" spans="1:12" ht="22.8" customHeight="1">
      <c r="A13" s="11" t="s">
        <v>1640</v>
      </c>
      <c r="B13" s="11" t="s">
        <v>195</v>
      </c>
      <c r="C13" s="11" t="s">
        <v>1614</v>
      </c>
      <c r="D13" s="11" t="s">
        <v>1641</v>
      </c>
      <c r="E13" s="11" t="s">
        <v>1642</v>
      </c>
      <c r="F13" s="11" t="s">
        <v>1643</v>
      </c>
      <c r="G13" s="11" t="s">
        <v>1644</v>
      </c>
      <c r="H13" s="11" t="s">
        <v>1629</v>
      </c>
      <c r="I13" s="18"/>
      <c r="J13" s="11"/>
      <c r="K13" s="11"/>
      <c r="L13" s="11"/>
    </row>
    <row r="14" spans="1:12">
      <c r="A14" s="11" t="s">
        <v>1645</v>
      </c>
      <c r="B14" s="11" t="s">
        <v>195</v>
      </c>
      <c r="C14" s="11" t="s">
        <v>1042</v>
      </c>
      <c r="D14" s="11" t="s">
        <v>1646</v>
      </c>
      <c r="E14" s="11" t="s">
        <v>1647</v>
      </c>
      <c r="F14" s="11" t="s">
        <v>1648</v>
      </c>
      <c r="G14" s="11" t="s">
        <v>1649</v>
      </c>
      <c r="H14" s="11" t="s">
        <v>1629</v>
      </c>
      <c r="I14" s="18"/>
      <c r="J14" s="11"/>
      <c r="K14" s="11"/>
      <c r="L14" s="11"/>
    </row>
    <row r="15" spans="1:12" ht="171" customHeight="1">
      <c r="A15" s="11" t="s">
        <v>1650</v>
      </c>
      <c r="B15" s="11" t="s">
        <v>195</v>
      </c>
      <c r="C15" s="11" t="s">
        <v>1620</v>
      </c>
      <c r="D15" s="11" t="s">
        <v>1651</v>
      </c>
      <c r="E15" s="11" t="s">
        <v>1652</v>
      </c>
      <c r="F15" s="11" t="s">
        <v>1653</v>
      </c>
      <c r="G15" s="11" t="s">
        <v>1654</v>
      </c>
      <c r="H15" s="11" t="s">
        <v>1629</v>
      </c>
      <c r="I15" s="18"/>
      <c r="J15" s="11"/>
      <c r="K15" s="11"/>
      <c r="L15" s="11"/>
    </row>
    <row r="16" spans="1:12">
      <c r="A16" s="11" t="s">
        <v>1655</v>
      </c>
      <c r="B16" s="11" t="s">
        <v>347</v>
      </c>
      <c r="C16" s="11" t="s">
        <v>1601</v>
      </c>
      <c r="D16" s="11" t="s">
        <v>1656</v>
      </c>
      <c r="E16" s="11" t="s">
        <v>389</v>
      </c>
      <c r="F16" s="11" t="s">
        <v>1657</v>
      </c>
      <c r="G16" s="11" t="s">
        <v>1658</v>
      </c>
      <c r="H16" s="11" t="s">
        <v>1629</v>
      </c>
      <c r="I16" s="18"/>
      <c r="J16" s="11"/>
      <c r="K16" s="11"/>
      <c r="L16" s="11"/>
    </row>
    <row r="17" spans="1:12">
      <c r="A17" s="11" t="s">
        <v>1659</v>
      </c>
      <c r="B17" s="11" t="s">
        <v>347</v>
      </c>
      <c r="C17" s="11" t="s">
        <v>1614</v>
      </c>
      <c r="D17" s="11" t="s">
        <v>1660</v>
      </c>
      <c r="E17" s="11" t="s">
        <v>436</v>
      </c>
      <c r="F17" s="11" t="s">
        <v>1661</v>
      </c>
      <c r="G17" s="11" t="s">
        <v>1662</v>
      </c>
      <c r="H17" s="11" t="s">
        <v>1629</v>
      </c>
      <c r="I17" s="18"/>
      <c r="J17" s="11"/>
      <c r="K17" s="11"/>
      <c r="L17" s="11"/>
    </row>
    <row r="18" spans="1:12">
      <c r="A18" s="11" t="s">
        <v>1663</v>
      </c>
      <c r="B18" s="11" t="s">
        <v>347</v>
      </c>
      <c r="C18" s="11" t="s">
        <v>1664</v>
      </c>
      <c r="D18" s="11" t="s">
        <v>1665</v>
      </c>
      <c r="E18" s="11" t="s">
        <v>460</v>
      </c>
      <c r="F18" s="11" t="s">
        <v>1666</v>
      </c>
      <c r="G18" s="11" t="s">
        <v>427</v>
      </c>
      <c r="H18" s="11" t="s">
        <v>1629</v>
      </c>
      <c r="I18" s="18"/>
      <c r="J18" s="11"/>
      <c r="K18" s="11"/>
      <c r="L18" s="11"/>
    </row>
    <row r="19" spans="1:12" ht="171" customHeight="1">
      <c r="A19" s="11" t="s">
        <v>1667</v>
      </c>
      <c r="B19" s="11" t="s">
        <v>347</v>
      </c>
      <c r="C19" s="11" t="s">
        <v>1668</v>
      </c>
      <c r="D19" s="11" t="s">
        <v>1669</v>
      </c>
      <c r="E19" s="11" t="s">
        <v>471</v>
      </c>
      <c r="F19" s="11" t="s">
        <v>1670</v>
      </c>
      <c r="G19" s="11" t="s">
        <v>473</v>
      </c>
      <c r="H19" s="11" t="s">
        <v>1629</v>
      </c>
      <c r="I19" s="18"/>
      <c r="J19" s="11"/>
      <c r="K19" s="11"/>
      <c r="L19" s="11"/>
    </row>
    <row r="20" spans="1:12">
      <c r="A20" s="11" t="s">
        <v>1671</v>
      </c>
      <c r="B20" s="11" t="s">
        <v>499</v>
      </c>
      <c r="C20" s="11" t="s">
        <v>1601</v>
      </c>
      <c r="D20" s="11" t="s">
        <v>1672</v>
      </c>
      <c r="E20" s="11" t="s">
        <v>505</v>
      </c>
      <c r="F20" s="11" t="s">
        <v>1673</v>
      </c>
      <c r="G20" s="11" t="s">
        <v>1674</v>
      </c>
      <c r="H20" s="11" t="s">
        <v>1629</v>
      </c>
      <c r="I20" s="18"/>
      <c r="J20" s="11"/>
      <c r="K20" s="11"/>
      <c r="L20" s="11"/>
    </row>
    <row r="21" spans="1:12">
      <c r="A21" s="11" t="s">
        <v>1675</v>
      </c>
      <c r="B21" s="11" t="s">
        <v>499</v>
      </c>
      <c r="C21" s="11" t="s">
        <v>1614</v>
      </c>
      <c r="D21" s="11" t="s">
        <v>1676</v>
      </c>
      <c r="E21" s="11" t="s">
        <v>547</v>
      </c>
      <c r="F21" s="11" t="s">
        <v>1677</v>
      </c>
      <c r="G21" s="11" t="s">
        <v>1678</v>
      </c>
      <c r="H21" s="11" t="s">
        <v>1629</v>
      </c>
      <c r="I21" s="18"/>
      <c r="J21" s="11"/>
      <c r="K21" s="11"/>
      <c r="L21" s="11"/>
    </row>
    <row r="22" spans="1:12">
      <c r="A22" s="11" t="s">
        <v>1679</v>
      </c>
      <c r="B22" s="11" t="s">
        <v>499</v>
      </c>
      <c r="C22" s="11" t="s">
        <v>1042</v>
      </c>
      <c r="D22" s="11" t="s">
        <v>1680</v>
      </c>
      <c r="E22" s="11" t="s">
        <v>1681</v>
      </c>
      <c r="F22" s="11" t="s">
        <v>1682</v>
      </c>
      <c r="G22" s="11" t="s">
        <v>1683</v>
      </c>
      <c r="H22" s="11" t="s">
        <v>1629</v>
      </c>
      <c r="I22" s="18"/>
      <c r="J22" s="11"/>
      <c r="K22" s="11"/>
      <c r="L22" s="11"/>
    </row>
    <row r="23" spans="1:12" ht="22.8" customHeight="1">
      <c r="A23" s="11" t="s">
        <v>1684</v>
      </c>
      <c r="B23" s="11" t="s">
        <v>499</v>
      </c>
      <c r="C23" s="11" t="s">
        <v>577</v>
      </c>
      <c r="D23" s="11" t="s">
        <v>1685</v>
      </c>
      <c r="E23" s="11" t="s">
        <v>1686</v>
      </c>
      <c r="F23" s="11" t="s">
        <v>1687</v>
      </c>
      <c r="G23" s="11" t="s">
        <v>1688</v>
      </c>
      <c r="H23" s="11" t="s">
        <v>1629</v>
      </c>
      <c r="I23" s="18"/>
      <c r="J23" s="11"/>
      <c r="K23" s="11"/>
      <c r="L23" s="11"/>
    </row>
    <row r="24" spans="1:12" ht="171" customHeight="1">
      <c r="A24" s="11" t="s">
        <v>1689</v>
      </c>
      <c r="B24" s="11" t="s">
        <v>499</v>
      </c>
      <c r="C24" s="11" t="s">
        <v>1668</v>
      </c>
      <c r="D24" s="11" t="s">
        <v>1690</v>
      </c>
      <c r="E24" s="11" t="s">
        <v>617</v>
      </c>
      <c r="F24" s="11" t="s">
        <v>1691</v>
      </c>
      <c r="G24" s="11" t="s">
        <v>619</v>
      </c>
      <c r="H24" s="11" t="s">
        <v>1629</v>
      </c>
      <c r="I24" s="18"/>
      <c r="J24" s="11"/>
      <c r="K24" s="11"/>
      <c r="L24" s="11"/>
    </row>
    <row r="25" spans="1:12" ht="171" customHeight="1">
      <c r="A25" s="11" t="s">
        <v>1692</v>
      </c>
      <c r="B25" s="11" t="s">
        <v>645</v>
      </c>
      <c r="C25" s="11" t="s">
        <v>1693</v>
      </c>
      <c r="D25" s="11" t="s">
        <v>1694</v>
      </c>
      <c r="E25" s="11" t="s">
        <v>1695</v>
      </c>
      <c r="F25" s="11" t="s">
        <v>1696</v>
      </c>
      <c r="G25" s="11" t="s">
        <v>1697</v>
      </c>
      <c r="H25" s="11" t="s">
        <v>1629</v>
      </c>
      <c r="I25" s="18"/>
      <c r="J25" s="11"/>
      <c r="K25" s="11"/>
      <c r="L25" s="11"/>
    </row>
    <row r="26" spans="1:12" ht="182.4" customHeight="1">
      <c r="A26" s="11" t="s">
        <v>1698</v>
      </c>
      <c r="B26" s="11" t="s">
        <v>645</v>
      </c>
      <c r="C26" s="11" t="s">
        <v>1699</v>
      </c>
      <c r="D26" s="11" t="s">
        <v>1700</v>
      </c>
      <c r="E26" s="11" t="s">
        <v>1701</v>
      </c>
      <c r="F26" s="11" t="s">
        <v>1702</v>
      </c>
      <c r="G26" s="11" t="s">
        <v>1703</v>
      </c>
      <c r="H26" s="11" t="s">
        <v>1629</v>
      </c>
      <c r="I26" s="18"/>
      <c r="J26" s="11"/>
      <c r="K26" s="11"/>
      <c r="L26" s="11"/>
    </row>
    <row r="27" spans="1:12">
      <c r="A27" s="11" t="s">
        <v>1704</v>
      </c>
      <c r="B27" s="11" t="s">
        <v>645</v>
      </c>
      <c r="C27" s="11" t="s">
        <v>1693</v>
      </c>
      <c r="D27" s="11" t="s">
        <v>1705</v>
      </c>
      <c r="E27" s="11" t="s">
        <v>752</v>
      </c>
      <c r="F27" s="11" t="s">
        <v>1706</v>
      </c>
      <c r="G27" s="11" t="s">
        <v>754</v>
      </c>
      <c r="H27" s="11" t="s">
        <v>1629</v>
      </c>
      <c r="I27" s="18"/>
      <c r="J27" s="11"/>
      <c r="K27" s="11"/>
      <c r="L27" s="11"/>
    </row>
    <row r="28" spans="1:12" ht="171" customHeight="1">
      <c r="A28" s="11" t="s">
        <v>1707</v>
      </c>
      <c r="B28" s="11" t="s">
        <v>645</v>
      </c>
      <c r="C28" s="11" t="s">
        <v>737</v>
      </c>
      <c r="D28" s="11" t="s">
        <v>1708</v>
      </c>
      <c r="E28" s="11" t="s">
        <v>1709</v>
      </c>
      <c r="F28" s="11" t="s">
        <v>1710</v>
      </c>
      <c r="G28" s="11" t="s">
        <v>1711</v>
      </c>
      <c r="H28" s="11" t="s">
        <v>1629</v>
      </c>
      <c r="I28" s="18"/>
      <c r="J28" s="11"/>
      <c r="K28" s="11"/>
      <c r="L28" s="11"/>
    </row>
    <row r="29" spans="1:12">
      <c r="A29" s="11" t="s">
        <v>1712</v>
      </c>
      <c r="B29" s="11" t="s">
        <v>645</v>
      </c>
      <c r="C29" s="11" t="s">
        <v>1713</v>
      </c>
      <c r="D29" s="11" t="s">
        <v>1714</v>
      </c>
      <c r="E29" s="11" t="s">
        <v>1715</v>
      </c>
      <c r="F29" s="11" t="s">
        <v>1716</v>
      </c>
      <c r="G29" s="11" t="s">
        <v>1717</v>
      </c>
      <c r="H29" s="11" t="s">
        <v>1629</v>
      </c>
      <c r="I29" s="18"/>
      <c r="J29" s="11"/>
      <c r="K29" s="11"/>
      <c r="L29" s="11"/>
    </row>
    <row r="30" spans="1:12" ht="22.8" customHeight="1">
      <c r="A30" s="11" t="s">
        <v>1718</v>
      </c>
      <c r="B30" s="11" t="s">
        <v>645</v>
      </c>
      <c r="C30" s="11" t="s">
        <v>1620</v>
      </c>
      <c r="D30" s="11" t="s">
        <v>1719</v>
      </c>
      <c r="E30" s="11" t="s">
        <v>943</v>
      </c>
      <c r="F30" s="11" t="s">
        <v>1720</v>
      </c>
      <c r="G30" s="11" t="s">
        <v>786</v>
      </c>
      <c r="H30" s="11" t="s">
        <v>1629</v>
      </c>
      <c r="I30" s="18"/>
      <c r="J30" s="11"/>
      <c r="K30" s="11"/>
      <c r="L30" s="11"/>
    </row>
    <row r="31" spans="1:12">
      <c r="A31" s="11" t="s">
        <v>1721</v>
      </c>
      <c r="B31" s="11" t="s">
        <v>812</v>
      </c>
      <c r="C31" s="11" t="s">
        <v>825</v>
      </c>
      <c r="D31" s="11" t="s">
        <v>1722</v>
      </c>
      <c r="E31" s="11" t="s">
        <v>830</v>
      </c>
      <c r="F31" s="11" t="s">
        <v>1723</v>
      </c>
      <c r="G31" s="11" t="s">
        <v>1724</v>
      </c>
      <c r="H31" s="11" t="s">
        <v>1629</v>
      </c>
      <c r="I31" s="18"/>
      <c r="J31" s="11"/>
      <c r="K31" s="11"/>
      <c r="L31" s="11"/>
    </row>
    <row r="32" spans="1:12">
      <c r="A32" s="11" t="s">
        <v>1725</v>
      </c>
      <c r="B32" s="11" t="s">
        <v>812</v>
      </c>
      <c r="C32" s="11" t="s">
        <v>1713</v>
      </c>
      <c r="D32" s="11" t="s">
        <v>1726</v>
      </c>
      <c r="E32" s="11" t="s">
        <v>1727</v>
      </c>
      <c r="F32" s="11" t="s">
        <v>1728</v>
      </c>
      <c r="G32" s="11" t="s">
        <v>1729</v>
      </c>
      <c r="H32" s="11" t="s">
        <v>1629</v>
      </c>
      <c r="I32" s="18"/>
      <c r="J32" s="11"/>
      <c r="K32" s="11"/>
      <c r="L32" s="11"/>
    </row>
    <row r="33" spans="1:12">
      <c r="A33" s="11" t="s">
        <v>1730</v>
      </c>
      <c r="B33" s="11" t="s">
        <v>812</v>
      </c>
      <c r="C33" s="11" t="s">
        <v>1731</v>
      </c>
      <c r="D33" s="11" t="s">
        <v>1732</v>
      </c>
      <c r="E33" s="11" t="s">
        <v>886</v>
      </c>
      <c r="F33" s="11" t="s">
        <v>1733</v>
      </c>
      <c r="G33" s="11" t="s">
        <v>1734</v>
      </c>
      <c r="H33" s="11" t="s">
        <v>1629</v>
      </c>
      <c r="I33" s="18"/>
      <c r="J33" s="11"/>
      <c r="K33" s="11"/>
      <c r="L33" s="11"/>
    </row>
    <row r="34" spans="1:12">
      <c r="A34" s="11" t="s">
        <v>1735</v>
      </c>
      <c r="B34" s="11" t="s">
        <v>812</v>
      </c>
      <c r="C34" s="11" t="s">
        <v>1736</v>
      </c>
      <c r="D34" s="11" t="s">
        <v>1737</v>
      </c>
      <c r="E34" s="11" t="s">
        <v>910</v>
      </c>
      <c r="F34" s="11" t="s">
        <v>1738</v>
      </c>
      <c r="G34" s="11" t="s">
        <v>1739</v>
      </c>
      <c r="H34" s="11" t="s">
        <v>1629</v>
      </c>
      <c r="I34" s="18"/>
      <c r="J34" s="11"/>
      <c r="K34" s="11"/>
      <c r="L34" s="11"/>
    </row>
    <row r="35" spans="1:12">
      <c r="A35" s="11" t="s">
        <v>1740</v>
      </c>
      <c r="B35" s="11" t="s">
        <v>812</v>
      </c>
      <c r="C35" s="11" t="s">
        <v>1664</v>
      </c>
      <c r="D35" s="11" t="s">
        <v>1741</v>
      </c>
      <c r="E35" s="11" t="s">
        <v>922</v>
      </c>
      <c r="F35" s="11" t="s">
        <v>1742</v>
      </c>
      <c r="G35" s="11" t="s">
        <v>924</v>
      </c>
      <c r="H35" s="11" t="s">
        <v>1629</v>
      </c>
      <c r="I35" s="18"/>
      <c r="J35" s="11"/>
      <c r="K35" s="11"/>
      <c r="L35" s="11"/>
    </row>
    <row r="36" spans="1:12" ht="171" customHeight="1">
      <c r="A36" s="11" t="s">
        <v>1743</v>
      </c>
      <c r="B36" s="11" t="s">
        <v>812</v>
      </c>
      <c r="C36" s="11" t="s">
        <v>1668</v>
      </c>
      <c r="D36" s="11" t="s">
        <v>1744</v>
      </c>
      <c r="E36" s="11" t="s">
        <v>933</v>
      </c>
      <c r="F36" s="11" t="s">
        <v>1745</v>
      </c>
      <c r="G36" s="11" t="s">
        <v>935</v>
      </c>
      <c r="H36" s="11" t="s">
        <v>1629</v>
      </c>
      <c r="I36" s="18"/>
      <c r="J36" s="11"/>
      <c r="K36" s="11"/>
      <c r="L36" s="11"/>
    </row>
    <row r="37" spans="1:12" ht="22.8" customHeight="1">
      <c r="A37" s="11" t="s">
        <v>1746</v>
      </c>
      <c r="B37" s="11" t="s">
        <v>812</v>
      </c>
      <c r="C37" s="11" t="s">
        <v>1620</v>
      </c>
      <c r="D37" s="11" t="s">
        <v>1747</v>
      </c>
      <c r="E37" s="11" t="s">
        <v>943</v>
      </c>
      <c r="F37" s="11" t="s">
        <v>1748</v>
      </c>
      <c r="G37" s="11" t="s">
        <v>945</v>
      </c>
      <c r="H37" s="11" t="s">
        <v>1629</v>
      </c>
      <c r="I37" s="18"/>
      <c r="J37" s="11"/>
      <c r="K37" s="11"/>
      <c r="L37" s="11"/>
    </row>
    <row r="38" spans="1:12" ht="42" customHeight="1">
      <c r="A38" s="23" t="s">
        <v>1749</v>
      </c>
      <c r="B38" s="23" t="s">
        <v>24</v>
      </c>
      <c r="C38" s="23" t="s">
        <v>1750</v>
      </c>
      <c r="D38" s="23" t="s">
        <v>1751</v>
      </c>
      <c r="E38" s="23" t="s">
        <v>1752</v>
      </c>
      <c r="F38" s="23" t="s">
        <v>1753</v>
      </c>
      <c r="G38" s="23" t="s">
        <v>35</v>
      </c>
      <c r="H38" s="23" t="s">
        <v>1605</v>
      </c>
      <c r="I38" s="25">
        <v>46252</v>
      </c>
      <c r="J38" s="23" t="s">
        <v>1754</v>
      </c>
      <c r="K38" s="23" t="s">
        <v>1755</v>
      </c>
      <c r="L38" s="23" t="s">
        <v>1608</v>
      </c>
    </row>
    <row r="39" spans="1:12" ht="42" customHeight="1">
      <c r="A39" s="22" t="s">
        <v>1756</v>
      </c>
      <c r="B39" s="22" t="s">
        <v>24</v>
      </c>
      <c r="C39" s="22" t="s">
        <v>43</v>
      </c>
      <c r="D39" s="22" t="s">
        <v>1757</v>
      </c>
      <c r="E39" s="22" t="s">
        <v>49</v>
      </c>
      <c r="F39" s="22" t="s">
        <v>1758</v>
      </c>
      <c r="G39" s="22" t="s">
        <v>51</v>
      </c>
      <c r="H39" s="22" t="s">
        <v>1605</v>
      </c>
      <c r="I39" s="26">
        <v>46252</v>
      </c>
      <c r="J39" s="22" t="s">
        <v>1759</v>
      </c>
      <c r="K39" s="22" t="s">
        <v>1760</v>
      </c>
      <c r="L39" s="22" t="s">
        <v>1608</v>
      </c>
    </row>
  </sheetData>
  <mergeCells count="2">
    <mergeCell ref="A2:L2"/>
    <mergeCell ref="A1:L1"/>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66" t="s">
        <v>1761</v>
      </c>
      <c r="B1" s="67"/>
      <c r="C1" s="67"/>
      <c r="D1" s="67"/>
      <c r="E1" s="67"/>
      <c r="F1" s="67"/>
      <c r="G1" s="67"/>
      <c r="H1" s="67"/>
      <c r="I1" s="67"/>
      <c r="J1" s="67"/>
      <c r="K1" s="67"/>
    </row>
    <row r="2" spans="1:11" ht="31.95" customHeight="1">
      <c r="A2" s="75" t="s">
        <v>1762</v>
      </c>
      <c r="B2" s="67"/>
      <c r="C2" s="67"/>
      <c r="D2" s="67"/>
      <c r="E2" s="67"/>
      <c r="F2" s="67"/>
      <c r="G2" s="67"/>
      <c r="H2" s="67"/>
      <c r="I2" s="67"/>
      <c r="J2" s="67"/>
      <c r="K2" s="67"/>
    </row>
    <row r="5" spans="1:11" ht="28.05" customHeight="1">
      <c r="A5" s="1" t="s">
        <v>17</v>
      </c>
      <c r="B5" s="2" t="s">
        <v>1763</v>
      </c>
      <c r="C5" s="2" t="s">
        <v>20</v>
      </c>
      <c r="D5" s="2" t="s">
        <v>1764</v>
      </c>
      <c r="E5" s="2" t="s">
        <v>1765</v>
      </c>
      <c r="F5" s="2" t="s">
        <v>1766</v>
      </c>
      <c r="G5" s="2" t="s">
        <v>1767</v>
      </c>
      <c r="H5" s="2" t="s">
        <v>1768</v>
      </c>
      <c r="I5" s="2" t="s">
        <v>9</v>
      </c>
      <c r="J5" s="2" t="s">
        <v>1769</v>
      </c>
      <c r="K5" s="3" t="s">
        <v>1770</v>
      </c>
    </row>
    <row r="6" spans="1:11" ht="22.8" customHeight="1">
      <c r="A6" s="10" t="s">
        <v>36</v>
      </c>
      <c r="B6" s="10" t="s">
        <v>1771</v>
      </c>
      <c r="C6" s="10" t="s">
        <v>1772</v>
      </c>
      <c r="D6" s="10" t="s">
        <v>24</v>
      </c>
      <c r="E6" s="10" t="s">
        <v>1773</v>
      </c>
      <c r="F6" s="10" t="s">
        <v>1774</v>
      </c>
      <c r="G6" s="10" t="s">
        <v>1775</v>
      </c>
      <c r="H6" s="10" t="s">
        <v>1776</v>
      </c>
      <c r="I6" s="10" t="s">
        <v>29</v>
      </c>
      <c r="J6" s="10" t="s">
        <v>1777</v>
      </c>
      <c r="K6" s="10"/>
    </row>
    <row r="7" spans="1:11" ht="22.8" customHeight="1">
      <c r="A7" s="11" t="s">
        <v>91</v>
      </c>
      <c r="B7" s="11" t="s">
        <v>1778</v>
      </c>
      <c r="C7" s="11" t="s">
        <v>1772</v>
      </c>
      <c r="D7" s="11" t="s">
        <v>24</v>
      </c>
      <c r="E7" s="11" t="s">
        <v>1779</v>
      </c>
      <c r="F7" s="11" t="s">
        <v>1780</v>
      </c>
      <c r="G7" s="11" t="s">
        <v>1781</v>
      </c>
      <c r="H7" s="11" t="s">
        <v>1782</v>
      </c>
      <c r="I7" s="11" t="s">
        <v>29</v>
      </c>
      <c r="J7" s="11" t="s">
        <v>1783</v>
      </c>
      <c r="K7" s="11"/>
    </row>
    <row r="8" spans="1:11" ht="22.8" customHeight="1">
      <c r="A8" s="11" t="s">
        <v>226</v>
      </c>
      <c r="B8" s="11" t="s">
        <v>1784</v>
      </c>
      <c r="C8" s="11" t="s">
        <v>1772</v>
      </c>
      <c r="D8" s="11" t="s">
        <v>195</v>
      </c>
      <c r="E8" s="11" t="s">
        <v>1785</v>
      </c>
      <c r="F8" s="11" t="s">
        <v>1786</v>
      </c>
      <c r="G8" s="11" t="s">
        <v>1787</v>
      </c>
      <c r="H8" s="11" t="s">
        <v>1788</v>
      </c>
      <c r="I8" s="11" t="s">
        <v>29</v>
      </c>
      <c r="J8" s="11" t="s">
        <v>1789</v>
      </c>
      <c r="K8" s="11"/>
    </row>
    <row r="9" spans="1:11" ht="22.8" customHeight="1">
      <c r="A9" s="11" t="s">
        <v>369</v>
      </c>
      <c r="B9" s="11" t="s">
        <v>1790</v>
      </c>
      <c r="C9" s="11" t="s">
        <v>1772</v>
      </c>
      <c r="D9" s="11" t="s">
        <v>347</v>
      </c>
      <c r="E9" s="11" t="s">
        <v>1791</v>
      </c>
      <c r="F9" s="11" t="s">
        <v>1792</v>
      </c>
      <c r="G9" s="11" t="s">
        <v>1793</v>
      </c>
      <c r="H9" s="11" t="s">
        <v>1794</v>
      </c>
      <c r="I9" s="11" t="s">
        <v>29</v>
      </c>
      <c r="J9" s="11" t="s">
        <v>1795</v>
      </c>
      <c r="K9" s="11"/>
    </row>
    <row r="10" spans="1:11" ht="22.8" customHeight="1">
      <c r="A10" s="11" t="s">
        <v>529</v>
      </c>
      <c r="B10" s="11" t="s">
        <v>1796</v>
      </c>
      <c r="C10" s="11" t="s">
        <v>1772</v>
      </c>
      <c r="D10" s="11" t="s">
        <v>499</v>
      </c>
      <c r="E10" s="11" t="s">
        <v>1797</v>
      </c>
      <c r="F10" s="11" t="s">
        <v>1798</v>
      </c>
      <c r="G10" s="11" t="s">
        <v>1799</v>
      </c>
      <c r="H10" s="11" t="s">
        <v>1800</v>
      </c>
      <c r="I10" s="11" t="s">
        <v>29</v>
      </c>
      <c r="J10" s="11" t="s">
        <v>1801</v>
      </c>
      <c r="K10" s="11"/>
    </row>
    <row r="11" spans="1:11" ht="22.8" customHeight="1">
      <c r="A11" s="11" t="s">
        <v>274</v>
      </c>
      <c r="B11" s="11" t="s">
        <v>1802</v>
      </c>
      <c r="C11" s="11" t="s">
        <v>1772</v>
      </c>
      <c r="D11" s="11" t="s">
        <v>195</v>
      </c>
      <c r="E11" s="11" t="s">
        <v>1803</v>
      </c>
      <c r="F11" s="11" t="s">
        <v>1804</v>
      </c>
      <c r="G11" s="11" t="s">
        <v>1805</v>
      </c>
      <c r="H11" s="11" t="s">
        <v>1806</v>
      </c>
      <c r="I11" s="11" t="s">
        <v>29</v>
      </c>
      <c r="J11" s="11" t="s">
        <v>1807</v>
      </c>
      <c r="K11" s="11"/>
    </row>
    <row r="12" spans="1:11" ht="22.8" customHeight="1">
      <c r="A12" s="11" t="s">
        <v>508</v>
      </c>
      <c r="B12" s="11" t="s">
        <v>1808</v>
      </c>
      <c r="C12" s="11" t="s">
        <v>1772</v>
      </c>
      <c r="D12" s="11" t="s">
        <v>499</v>
      </c>
      <c r="E12" s="11" t="s">
        <v>1809</v>
      </c>
      <c r="F12" s="11" t="s">
        <v>1810</v>
      </c>
      <c r="G12" s="11" t="s">
        <v>1811</v>
      </c>
      <c r="H12" s="11" t="s">
        <v>1812</v>
      </c>
      <c r="I12" s="11" t="s">
        <v>29</v>
      </c>
      <c r="J12" s="11" t="s">
        <v>1813</v>
      </c>
      <c r="K12" s="11"/>
    </row>
    <row r="13" spans="1:11" ht="22.8" customHeight="1">
      <c r="A13" s="11" t="s">
        <v>451</v>
      </c>
      <c r="B13" s="11" t="s">
        <v>1814</v>
      </c>
      <c r="C13" s="11" t="s">
        <v>1772</v>
      </c>
      <c r="D13" s="11" t="s">
        <v>347</v>
      </c>
      <c r="E13" s="11" t="s">
        <v>1815</v>
      </c>
      <c r="F13" s="11" t="s">
        <v>1816</v>
      </c>
      <c r="G13" s="11" t="s">
        <v>1817</v>
      </c>
      <c r="H13" s="11" t="s">
        <v>1818</v>
      </c>
      <c r="I13" s="11" t="s">
        <v>29</v>
      </c>
      <c r="J13" s="11" t="s">
        <v>1819</v>
      </c>
      <c r="K13" s="11"/>
    </row>
    <row r="14" spans="1:11" ht="22.8" customHeight="1">
      <c r="A14" s="11" t="s">
        <v>139</v>
      </c>
      <c r="B14" s="11" t="s">
        <v>1820</v>
      </c>
      <c r="C14" s="11" t="s">
        <v>1772</v>
      </c>
      <c r="D14" s="11" t="s">
        <v>24</v>
      </c>
      <c r="E14" s="11" t="s">
        <v>1821</v>
      </c>
      <c r="F14" s="11" t="s">
        <v>1822</v>
      </c>
      <c r="G14" s="11" t="s">
        <v>1823</v>
      </c>
      <c r="H14" s="11" t="s">
        <v>1824</v>
      </c>
      <c r="I14" s="11" t="s">
        <v>29</v>
      </c>
      <c r="J14" s="11" t="s">
        <v>1825</v>
      </c>
      <c r="K14" s="11"/>
    </row>
    <row r="15" spans="1:11" ht="22.8" customHeight="1">
      <c r="A15" s="11" t="s">
        <v>1826</v>
      </c>
      <c r="B15" s="11" t="s">
        <v>1827</v>
      </c>
      <c r="C15" s="11" t="s">
        <v>1772</v>
      </c>
      <c r="D15" s="11" t="s">
        <v>24</v>
      </c>
      <c r="E15" s="11" t="s">
        <v>1828</v>
      </c>
      <c r="F15" s="11" t="s">
        <v>1829</v>
      </c>
      <c r="G15" s="11" t="s">
        <v>1830</v>
      </c>
      <c r="H15" s="11" t="s">
        <v>1831</v>
      </c>
      <c r="I15" s="11" t="s">
        <v>29</v>
      </c>
      <c r="J15" s="11" t="s">
        <v>1832</v>
      </c>
      <c r="K15" s="11"/>
    </row>
    <row r="16" spans="1:11" ht="22.8" customHeight="1">
      <c r="A16" s="11" t="s">
        <v>1833</v>
      </c>
      <c r="B16" s="11" t="s">
        <v>1834</v>
      </c>
      <c r="C16" s="11" t="s">
        <v>1772</v>
      </c>
      <c r="D16" s="11" t="s">
        <v>24</v>
      </c>
      <c r="E16" s="11" t="s">
        <v>1835</v>
      </c>
      <c r="F16" s="11" t="s">
        <v>1836</v>
      </c>
      <c r="G16" s="11" t="s">
        <v>1837</v>
      </c>
      <c r="H16" s="11" t="s">
        <v>1838</v>
      </c>
      <c r="I16" s="11" t="s">
        <v>29</v>
      </c>
      <c r="J16" s="11" t="s">
        <v>1839</v>
      </c>
      <c r="K16" s="11"/>
    </row>
    <row r="17" spans="1:11" ht="22.8" customHeight="1">
      <c r="A17" s="11" t="s">
        <v>474</v>
      </c>
      <c r="B17" s="11" t="s">
        <v>1840</v>
      </c>
      <c r="C17" s="11" t="s">
        <v>1772</v>
      </c>
      <c r="D17" s="11" t="s">
        <v>24</v>
      </c>
      <c r="E17" s="11" t="s">
        <v>1841</v>
      </c>
      <c r="F17" s="11" t="s">
        <v>1842</v>
      </c>
      <c r="G17" s="11" t="s">
        <v>1843</v>
      </c>
      <c r="H17" s="11" t="s">
        <v>1844</v>
      </c>
      <c r="I17" s="11" t="s">
        <v>29</v>
      </c>
      <c r="J17" s="11" t="s">
        <v>1845</v>
      </c>
      <c r="K17" s="11"/>
    </row>
    <row r="18" spans="1:11" ht="22.8" customHeight="1">
      <c r="A18" s="11" t="s">
        <v>1846</v>
      </c>
      <c r="B18" s="11" t="s">
        <v>1847</v>
      </c>
      <c r="C18" s="11" t="s">
        <v>1772</v>
      </c>
      <c r="D18" s="11" t="s">
        <v>24</v>
      </c>
      <c r="E18" s="11" t="s">
        <v>1848</v>
      </c>
      <c r="F18" s="11" t="s">
        <v>1849</v>
      </c>
      <c r="G18" s="11" t="s">
        <v>1850</v>
      </c>
      <c r="H18" s="11" t="s">
        <v>1851</v>
      </c>
      <c r="I18" s="11" t="s">
        <v>29</v>
      </c>
      <c r="J18" s="11" t="s">
        <v>1852</v>
      </c>
      <c r="K18" s="11"/>
    </row>
    <row r="19" spans="1:11" ht="22.8" customHeight="1">
      <c r="A19" s="11" t="s">
        <v>1853</v>
      </c>
      <c r="B19" s="11" t="s">
        <v>1854</v>
      </c>
      <c r="C19" s="11" t="s">
        <v>1772</v>
      </c>
      <c r="D19" s="11" t="s">
        <v>24</v>
      </c>
      <c r="E19" s="11" t="s">
        <v>1855</v>
      </c>
      <c r="F19" s="11" t="s">
        <v>1856</v>
      </c>
      <c r="G19" s="11" t="s">
        <v>1857</v>
      </c>
      <c r="H19" s="11" t="s">
        <v>1858</v>
      </c>
      <c r="I19" s="11" t="s">
        <v>29</v>
      </c>
      <c r="J19" s="11" t="s">
        <v>1859</v>
      </c>
      <c r="K19" s="11"/>
    </row>
    <row r="20" spans="1:11">
      <c r="A20" s="11" t="s">
        <v>833</v>
      </c>
      <c r="B20" s="11" t="s">
        <v>1860</v>
      </c>
      <c r="C20" s="11" t="s">
        <v>1772</v>
      </c>
      <c r="D20" s="11" t="s">
        <v>812</v>
      </c>
      <c r="E20" s="11" t="s">
        <v>1861</v>
      </c>
      <c r="F20" s="11" t="s">
        <v>1862</v>
      </c>
      <c r="G20" s="11" t="s">
        <v>1863</v>
      </c>
      <c r="H20" s="11" t="s">
        <v>1864</v>
      </c>
      <c r="I20" s="11" t="s">
        <v>29</v>
      </c>
      <c r="J20" s="11" t="s">
        <v>1865</v>
      </c>
      <c r="K20" s="11"/>
    </row>
    <row r="21" spans="1:11">
      <c r="A21" s="11" t="s">
        <v>52</v>
      </c>
      <c r="B21" s="11" t="s">
        <v>1866</v>
      </c>
      <c r="C21" s="11" t="s">
        <v>1772</v>
      </c>
      <c r="D21" s="11" t="s">
        <v>24</v>
      </c>
      <c r="E21" s="11" t="s">
        <v>1867</v>
      </c>
      <c r="F21" s="11" t="s">
        <v>1868</v>
      </c>
      <c r="G21" s="11" t="s">
        <v>1869</v>
      </c>
      <c r="H21" s="11" t="s">
        <v>1870</v>
      </c>
      <c r="I21" s="11" t="s">
        <v>29</v>
      </c>
      <c r="J21" s="11" t="s">
        <v>1871</v>
      </c>
      <c r="K21" s="11"/>
    </row>
    <row r="22" spans="1:11" ht="22.8" customHeight="1">
      <c r="A22" s="11" t="s">
        <v>103</v>
      </c>
      <c r="B22" s="11" t="s">
        <v>1872</v>
      </c>
      <c r="C22" s="11" t="s">
        <v>1772</v>
      </c>
      <c r="D22" s="11" t="s">
        <v>24</v>
      </c>
      <c r="E22" s="11" t="s">
        <v>1873</v>
      </c>
      <c r="F22" s="11" t="s">
        <v>1874</v>
      </c>
      <c r="G22" s="11" t="s">
        <v>1875</v>
      </c>
      <c r="H22" s="11" t="s">
        <v>1876</v>
      </c>
      <c r="I22" s="11" t="s">
        <v>29</v>
      </c>
      <c r="J22" s="11" t="s">
        <v>1877</v>
      </c>
      <c r="K22" s="11"/>
    </row>
    <row r="23" spans="1:11" ht="22.8" customHeight="1">
      <c r="A23" s="11" t="s">
        <v>1878</v>
      </c>
      <c r="B23" s="11" t="s">
        <v>1879</v>
      </c>
      <c r="C23" s="11" t="s">
        <v>1772</v>
      </c>
      <c r="D23" s="11" t="s">
        <v>1551</v>
      </c>
      <c r="E23" s="11" t="s">
        <v>1880</v>
      </c>
      <c r="F23" s="11" t="s">
        <v>1881</v>
      </c>
      <c r="G23" s="11" t="s">
        <v>1882</v>
      </c>
      <c r="H23" s="11" t="s">
        <v>1883</v>
      </c>
      <c r="I23" s="11" t="s">
        <v>29</v>
      </c>
      <c r="J23" s="11" t="s">
        <v>1884</v>
      </c>
      <c r="K23" s="11"/>
    </row>
  </sheetData>
  <mergeCells count="2">
    <mergeCell ref="A2:K2"/>
    <mergeCell ref="A1:K1"/>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workbookViewId="0">
      <selection activeCell="F34" sqref="F34"/>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66" t="s">
        <v>1885</v>
      </c>
      <c r="B1" s="67"/>
      <c r="C1" s="67"/>
      <c r="D1" s="67"/>
      <c r="E1" s="67"/>
      <c r="F1" s="67"/>
      <c r="G1" s="67"/>
      <c r="H1" s="67"/>
      <c r="I1" s="67"/>
      <c r="J1" s="67"/>
    </row>
    <row r="2" spans="1:10" ht="31.95" customHeight="1">
      <c r="A2" s="75" t="s">
        <v>1886</v>
      </c>
      <c r="B2" s="67"/>
      <c r="C2" s="67"/>
      <c r="D2" s="67"/>
      <c r="E2" s="67"/>
      <c r="F2" s="67"/>
      <c r="G2" s="67"/>
      <c r="H2" s="67"/>
      <c r="I2" s="67"/>
      <c r="J2" s="67"/>
    </row>
    <row r="5" spans="1:10" ht="28.05" customHeight="1">
      <c r="A5" s="1" t="s">
        <v>1887</v>
      </c>
      <c r="B5" s="2" t="s">
        <v>1888</v>
      </c>
      <c r="C5" s="2" t="s">
        <v>1889</v>
      </c>
      <c r="D5" s="2" t="s">
        <v>1890</v>
      </c>
      <c r="E5" s="2" t="s">
        <v>1891</v>
      </c>
      <c r="F5" s="2" t="s">
        <v>20</v>
      </c>
      <c r="G5" s="2" t="s">
        <v>9</v>
      </c>
      <c r="H5" s="2" t="s">
        <v>1892</v>
      </c>
      <c r="I5" s="2" t="s">
        <v>1893</v>
      </c>
      <c r="J5" s="3" t="s">
        <v>1894</v>
      </c>
    </row>
    <row r="6" spans="1:10" ht="68.400000000000006" hidden="1" customHeight="1">
      <c r="A6" s="10" t="s">
        <v>1895</v>
      </c>
      <c r="B6" s="10" t="s">
        <v>1896</v>
      </c>
      <c r="C6" s="19" t="s">
        <v>1897</v>
      </c>
      <c r="D6" s="10" t="s">
        <v>24</v>
      </c>
      <c r="E6" s="10" t="s">
        <v>1898</v>
      </c>
      <c r="F6" s="10" t="s">
        <v>39</v>
      </c>
      <c r="G6" s="10" t="s">
        <v>1003</v>
      </c>
      <c r="H6" s="10" t="s">
        <v>35</v>
      </c>
      <c r="I6" s="19" t="s">
        <v>1899</v>
      </c>
      <c r="J6" s="17">
        <v>46257</v>
      </c>
    </row>
    <row r="7" spans="1:10" ht="68.400000000000006" hidden="1" customHeight="1">
      <c r="A7" s="11" t="s">
        <v>1900</v>
      </c>
      <c r="B7" s="11" t="s">
        <v>1901</v>
      </c>
      <c r="C7" s="20" t="s">
        <v>1902</v>
      </c>
      <c r="D7" s="11" t="s">
        <v>24</v>
      </c>
      <c r="E7" s="11" t="s">
        <v>1898</v>
      </c>
      <c r="F7" s="11" t="s">
        <v>39</v>
      </c>
      <c r="G7" s="11" t="s">
        <v>1003</v>
      </c>
      <c r="H7" s="11" t="s">
        <v>35</v>
      </c>
      <c r="I7" s="20" t="s">
        <v>1903</v>
      </c>
      <c r="J7" s="18">
        <v>46252</v>
      </c>
    </row>
    <row r="8" spans="1:10" hidden="1">
      <c r="A8" s="11" t="s">
        <v>1904</v>
      </c>
      <c r="B8" s="11" t="s">
        <v>43</v>
      </c>
      <c r="C8" s="20" t="s">
        <v>1905</v>
      </c>
      <c r="D8" s="11" t="s">
        <v>195</v>
      </c>
      <c r="E8" s="11" t="s">
        <v>1898</v>
      </c>
      <c r="F8" s="11" t="s">
        <v>39</v>
      </c>
      <c r="G8" s="11" t="s">
        <v>29</v>
      </c>
      <c r="H8" s="11" t="s">
        <v>1906</v>
      </c>
      <c r="I8" s="20"/>
      <c r="J8" s="18"/>
    </row>
    <row r="9" spans="1:10" hidden="1">
      <c r="A9" s="11" t="s">
        <v>269</v>
      </c>
      <c r="B9" s="11" t="s">
        <v>266</v>
      </c>
      <c r="C9" s="20" t="s">
        <v>1907</v>
      </c>
      <c r="D9" s="11" t="s">
        <v>195</v>
      </c>
      <c r="E9" s="11" t="s">
        <v>1898</v>
      </c>
      <c r="F9" s="11" t="s">
        <v>39</v>
      </c>
      <c r="G9" s="11" t="s">
        <v>29</v>
      </c>
      <c r="H9" s="11" t="s">
        <v>1908</v>
      </c>
      <c r="I9" s="20"/>
      <c r="J9" s="18"/>
    </row>
    <row r="10" spans="1:10" hidden="1">
      <c r="A10" s="11" t="s">
        <v>423</v>
      </c>
      <c r="B10" s="11" t="s">
        <v>1664</v>
      </c>
      <c r="C10" s="20" t="s">
        <v>1909</v>
      </c>
      <c r="D10" s="11" t="s">
        <v>347</v>
      </c>
      <c r="E10" s="11" t="s">
        <v>1898</v>
      </c>
      <c r="F10" s="11" t="s">
        <v>39</v>
      </c>
      <c r="G10" s="11" t="s">
        <v>29</v>
      </c>
      <c r="H10" s="11" t="s">
        <v>1910</v>
      </c>
      <c r="I10" s="20"/>
      <c r="J10" s="18"/>
    </row>
    <row r="11" spans="1:10">
      <c r="A11" s="11" t="s">
        <v>1911</v>
      </c>
      <c r="B11" s="11" t="s">
        <v>1912</v>
      </c>
      <c r="C11" s="20" t="s">
        <v>1913</v>
      </c>
      <c r="D11" s="11" t="s">
        <v>645</v>
      </c>
      <c r="E11" s="11" t="s">
        <v>1898</v>
      </c>
      <c r="F11" s="11" t="s">
        <v>656</v>
      </c>
      <c r="G11" s="11" t="s">
        <v>29</v>
      </c>
      <c r="H11" s="11" t="s">
        <v>1914</v>
      </c>
      <c r="I11" s="20"/>
      <c r="J11" s="18"/>
    </row>
    <row r="12" spans="1:10" ht="68.400000000000006" hidden="1" customHeight="1">
      <c r="A12" s="11" t="s">
        <v>1915</v>
      </c>
      <c r="B12" s="11" t="s">
        <v>1912</v>
      </c>
      <c r="C12" s="20" t="s">
        <v>1916</v>
      </c>
      <c r="D12" s="11" t="s">
        <v>24</v>
      </c>
      <c r="E12" s="11" t="s">
        <v>1898</v>
      </c>
      <c r="F12" s="11" t="s">
        <v>39</v>
      </c>
      <c r="G12" s="11" t="s">
        <v>1003</v>
      </c>
      <c r="H12" s="11" t="s">
        <v>1917</v>
      </c>
      <c r="I12" s="20" t="s">
        <v>1918</v>
      </c>
      <c r="J12" s="18">
        <v>46252</v>
      </c>
    </row>
    <row r="13" spans="1:10" ht="22.8" customHeight="1">
      <c r="A13" s="11" t="s">
        <v>1919</v>
      </c>
      <c r="B13" s="11" t="s">
        <v>1920</v>
      </c>
      <c r="C13" s="20" t="s">
        <v>1921</v>
      </c>
      <c r="D13" s="11" t="s">
        <v>645</v>
      </c>
      <c r="E13" s="11" t="s">
        <v>1898</v>
      </c>
      <c r="F13" s="11" t="s">
        <v>656</v>
      </c>
      <c r="G13" s="11" t="s">
        <v>29</v>
      </c>
      <c r="H13" s="11" t="s">
        <v>1922</v>
      </c>
      <c r="I13" s="20"/>
      <c r="J13" s="18"/>
    </row>
    <row r="14" spans="1:10" ht="91.2" hidden="1" customHeight="1">
      <c r="A14" s="11" t="s">
        <v>62</v>
      </c>
      <c r="B14" s="11" t="s">
        <v>43</v>
      </c>
      <c r="C14" s="20" t="s">
        <v>1923</v>
      </c>
      <c r="D14" s="11" t="s">
        <v>24</v>
      </c>
      <c r="E14" s="11" t="s">
        <v>1898</v>
      </c>
      <c r="F14" s="11" t="s">
        <v>39</v>
      </c>
      <c r="G14" s="11" t="s">
        <v>1003</v>
      </c>
      <c r="H14" s="11" t="s">
        <v>1924</v>
      </c>
      <c r="I14" s="20" t="s">
        <v>1925</v>
      </c>
      <c r="J14" s="18">
        <v>46252</v>
      </c>
    </row>
    <row r="15" spans="1:10">
      <c r="A15" s="11" t="s">
        <v>1926</v>
      </c>
      <c r="B15" s="11" t="s">
        <v>1614</v>
      </c>
      <c r="C15" s="20" t="s">
        <v>1927</v>
      </c>
      <c r="D15" s="11" t="s">
        <v>645</v>
      </c>
      <c r="E15" s="11" t="s">
        <v>1898</v>
      </c>
      <c r="F15" s="11" t="s">
        <v>656</v>
      </c>
      <c r="G15" s="11" t="s">
        <v>29</v>
      </c>
      <c r="H15" s="11" t="s">
        <v>1922</v>
      </c>
      <c r="I15" s="20"/>
      <c r="J15" s="18"/>
    </row>
    <row r="16" spans="1:10">
      <c r="A16" s="11" t="s">
        <v>728</v>
      </c>
      <c r="B16" s="11" t="s">
        <v>724</v>
      </c>
      <c r="C16" s="20" t="s">
        <v>1928</v>
      </c>
      <c r="D16" s="11" t="s">
        <v>645</v>
      </c>
      <c r="E16" s="11" t="s">
        <v>1898</v>
      </c>
      <c r="F16" s="11" t="s">
        <v>656</v>
      </c>
      <c r="G16" s="11" t="s">
        <v>29</v>
      </c>
      <c r="H16" s="11" t="s">
        <v>1929</v>
      </c>
      <c r="I16" s="20"/>
      <c r="J16" s="18"/>
    </row>
    <row r="17" spans="1:10">
      <c r="A17" s="11" t="s">
        <v>352</v>
      </c>
      <c r="B17" s="11" t="s">
        <v>1930</v>
      </c>
      <c r="C17" s="20" t="s">
        <v>1931</v>
      </c>
      <c r="D17" s="11" t="s">
        <v>347</v>
      </c>
      <c r="E17" s="11" t="s">
        <v>1898</v>
      </c>
      <c r="F17" s="11" t="s">
        <v>656</v>
      </c>
      <c r="G17" s="11" t="s">
        <v>29</v>
      </c>
      <c r="H17" s="11" t="s">
        <v>1932</v>
      </c>
      <c r="I17" s="20"/>
      <c r="J17" s="18"/>
    </row>
    <row r="18" spans="1:10" hidden="1">
      <c r="A18" s="11" t="s">
        <v>245</v>
      </c>
      <c r="B18" s="11" t="s">
        <v>1930</v>
      </c>
      <c r="C18" s="20" t="s">
        <v>1933</v>
      </c>
      <c r="D18" s="11" t="s">
        <v>195</v>
      </c>
      <c r="E18" s="11" t="s">
        <v>1898</v>
      </c>
      <c r="F18" s="11" t="s">
        <v>39</v>
      </c>
      <c r="G18" s="11" t="s">
        <v>29</v>
      </c>
      <c r="H18" s="11" t="s">
        <v>1090</v>
      </c>
      <c r="I18" s="20"/>
      <c r="J18" s="18"/>
    </row>
    <row r="19" spans="1:10" hidden="1">
      <c r="A19" s="11" t="s">
        <v>281</v>
      </c>
      <c r="B19" s="11" t="s">
        <v>1713</v>
      </c>
      <c r="C19" s="20" t="s">
        <v>1934</v>
      </c>
      <c r="D19" s="11" t="s">
        <v>195</v>
      </c>
      <c r="E19" s="11" t="s">
        <v>1898</v>
      </c>
      <c r="F19" s="11" t="s">
        <v>39</v>
      </c>
      <c r="G19" s="11" t="s">
        <v>29</v>
      </c>
      <c r="H19" s="11" t="s">
        <v>1935</v>
      </c>
      <c r="I19" s="20"/>
      <c r="J19" s="18"/>
    </row>
    <row r="20" spans="1:10" ht="79.8" hidden="1" customHeight="1">
      <c r="A20" s="11" t="s">
        <v>122</v>
      </c>
      <c r="B20" s="11" t="s">
        <v>119</v>
      </c>
      <c r="C20" s="20" t="s">
        <v>1936</v>
      </c>
      <c r="D20" s="11" t="s">
        <v>24</v>
      </c>
      <c r="E20" s="11" t="s">
        <v>1937</v>
      </c>
      <c r="F20" s="11" t="s">
        <v>39</v>
      </c>
      <c r="G20" s="11" t="s">
        <v>1003</v>
      </c>
      <c r="H20" s="11" t="s">
        <v>1938</v>
      </c>
      <c r="I20" s="20" t="s">
        <v>1939</v>
      </c>
      <c r="J20" s="18">
        <v>46252</v>
      </c>
    </row>
    <row r="21" spans="1:10" ht="22.8" hidden="1" customHeight="1">
      <c r="A21" s="11" t="s">
        <v>481</v>
      </c>
      <c r="B21" s="11" t="s">
        <v>1940</v>
      </c>
      <c r="C21" s="20" t="s">
        <v>1941</v>
      </c>
      <c r="D21" s="11" t="s">
        <v>499</v>
      </c>
      <c r="E21" s="11" t="s">
        <v>1898</v>
      </c>
      <c r="F21" s="11" t="s">
        <v>39</v>
      </c>
      <c r="G21" s="11" t="s">
        <v>29</v>
      </c>
      <c r="H21" s="11" t="s">
        <v>1942</v>
      </c>
      <c r="I21" s="20"/>
      <c r="J21" s="18"/>
    </row>
    <row r="22" spans="1:10" hidden="1">
      <c r="A22" s="11" t="s">
        <v>446</v>
      </c>
      <c r="B22" s="11" t="s">
        <v>1943</v>
      </c>
      <c r="C22" s="20" t="s">
        <v>1944</v>
      </c>
      <c r="D22" s="11" t="s">
        <v>812</v>
      </c>
      <c r="E22" s="11" t="s">
        <v>1898</v>
      </c>
      <c r="F22" s="11" t="s">
        <v>800</v>
      </c>
      <c r="G22" s="11" t="s">
        <v>29</v>
      </c>
      <c r="H22" s="11" t="s">
        <v>1945</v>
      </c>
      <c r="I22" s="20"/>
      <c r="J22" s="18"/>
    </row>
    <row r="23" spans="1:10" hidden="1">
      <c r="A23" s="11" t="s">
        <v>458</v>
      </c>
      <c r="B23" s="11" t="s">
        <v>1731</v>
      </c>
      <c r="C23" s="20" t="s">
        <v>1946</v>
      </c>
      <c r="D23" s="11" t="s">
        <v>812</v>
      </c>
      <c r="E23" s="11" t="s">
        <v>1898</v>
      </c>
      <c r="F23" s="11" t="s">
        <v>800</v>
      </c>
      <c r="G23" s="11" t="s">
        <v>29</v>
      </c>
      <c r="H23" s="11" t="s">
        <v>888</v>
      </c>
      <c r="I23" s="20"/>
      <c r="J23" s="18"/>
    </row>
    <row r="24" spans="1:10" ht="22.8" customHeight="1">
      <c r="A24" s="11" t="s">
        <v>558</v>
      </c>
      <c r="B24" s="11" t="s">
        <v>1947</v>
      </c>
      <c r="C24" s="20" t="s">
        <v>1948</v>
      </c>
      <c r="D24" s="11" t="s">
        <v>499</v>
      </c>
      <c r="E24" s="11" t="s">
        <v>1898</v>
      </c>
      <c r="F24" s="11" t="s">
        <v>656</v>
      </c>
      <c r="G24" s="11" t="s">
        <v>29</v>
      </c>
      <c r="H24" s="11" t="s">
        <v>1949</v>
      </c>
      <c r="I24" s="20"/>
      <c r="J24" s="18"/>
    </row>
    <row r="25" spans="1:10" ht="22.8" hidden="1" customHeight="1">
      <c r="A25" s="11" t="s">
        <v>816</v>
      </c>
      <c r="B25" s="11" t="s">
        <v>825</v>
      </c>
      <c r="C25" s="20" t="s">
        <v>1950</v>
      </c>
      <c r="D25" s="11" t="s">
        <v>812</v>
      </c>
      <c r="E25" s="11" t="s">
        <v>1898</v>
      </c>
      <c r="F25" s="11" t="s">
        <v>800</v>
      </c>
      <c r="G25" s="11" t="s">
        <v>29</v>
      </c>
      <c r="H25" s="11" t="s">
        <v>1951</v>
      </c>
      <c r="I25" s="20"/>
      <c r="J25" s="18"/>
    </row>
    <row r="26" spans="1:10">
      <c r="A26" s="11" t="s">
        <v>569</v>
      </c>
      <c r="B26" s="11" t="s">
        <v>43</v>
      </c>
      <c r="C26" s="20" t="s">
        <v>1952</v>
      </c>
      <c r="D26" s="11" t="s">
        <v>499</v>
      </c>
      <c r="E26" s="11" t="s">
        <v>1937</v>
      </c>
      <c r="F26" s="11" t="s">
        <v>656</v>
      </c>
      <c r="G26" s="11" t="s">
        <v>29</v>
      </c>
      <c r="H26" s="11" t="s">
        <v>1953</v>
      </c>
      <c r="I26" s="20"/>
      <c r="J26" s="18"/>
    </row>
    <row r="27" spans="1:10" ht="22.8" hidden="1" customHeight="1">
      <c r="A27" s="11" t="s">
        <v>908</v>
      </c>
      <c r="B27" s="11" t="s">
        <v>1736</v>
      </c>
      <c r="C27" s="20" t="s">
        <v>1954</v>
      </c>
      <c r="D27" s="11" t="s">
        <v>812</v>
      </c>
      <c r="E27" s="11" t="s">
        <v>1937</v>
      </c>
      <c r="F27" s="11" t="s">
        <v>800</v>
      </c>
      <c r="G27" s="11" t="s">
        <v>29</v>
      </c>
      <c r="H27" s="11" t="s">
        <v>1955</v>
      </c>
      <c r="I27" s="20"/>
      <c r="J27" s="18"/>
    </row>
    <row r="28" spans="1:10" ht="68.400000000000006" hidden="1" customHeight="1">
      <c r="A28" s="11" t="s">
        <v>305</v>
      </c>
      <c r="B28" s="11" t="s">
        <v>1956</v>
      </c>
      <c r="C28" s="20" t="s">
        <v>1957</v>
      </c>
      <c r="D28" s="11" t="s">
        <v>24</v>
      </c>
      <c r="E28" s="11" t="s">
        <v>1898</v>
      </c>
      <c r="F28" s="11" t="s">
        <v>39</v>
      </c>
      <c r="G28" s="11" t="s">
        <v>1003</v>
      </c>
      <c r="H28" s="11" t="s">
        <v>1958</v>
      </c>
      <c r="I28" s="20" t="s">
        <v>1959</v>
      </c>
      <c r="J28" s="18">
        <v>46252</v>
      </c>
    </row>
    <row r="29" spans="1:10" ht="22.8" customHeight="1">
      <c r="A29" s="11" t="s">
        <v>1960</v>
      </c>
      <c r="B29" s="11" t="s">
        <v>266</v>
      </c>
      <c r="C29" s="20" t="s">
        <v>1961</v>
      </c>
      <c r="D29" s="11" t="s">
        <v>645</v>
      </c>
      <c r="E29" s="11" t="s">
        <v>1898</v>
      </c>
      <c r="F29" s="11" t="s">
        <v>656</v>
      </c>
      <c r="G29" s="11" t="s">
        <v>29</v>
      </c>
      <c r="H29" s="11" t="s">
        <v>1962</v>
      </c>
      <c r="I29" s="20"/>
      <c r="J29" s="18"/>
    </row>
    <row r="30" spans="1:10" ht="22.8" customHeight="1">
      <c r="A30" s="11" t="s">
        <v>387</v>
      </c>
      <c r="B30" s="11" t="s">
        <v>1963</v>
      </c>
      <c r="C30" s="20" t="s">
        <v>1964</v>
      </c>
      <c r="D30" s="11" t="s">
        <v>347</v>
      </c>
      <c r="E30" s="11" t="s">
        <v>1937</v>
      </c>
      <c r="F30" s="11" t="s">
        <v>656</v>
      </c>
      <c r="G30" s="11" t="s">
        <v>29</v>
      </c>
      <c r="H30" s="11" t="s">
        <v>1965</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ustomHeight="1">
      <c r="A1" s="66" t="s">
        <v>1966</v>
      </c>
      <c r="B1" s="67"/>
      <c r="C1" s="67"/>
      <c r="D1" s="67"/>
      <c r="E1" s="67"/>
      <c r="F1" s="67"/>
      <c r="G1" s="67"/>
      <c r="H1" s="67"/>
      <c r="I1" s="67"/>
    </row>
    <row r="2" spans="1:9">
      <c r="A2" s="75" t="s">
        <v>1967</v>
      </c>
      <c r="B2" s="67"/>
      <c r="C2" s="67"/>
      <c r="D2" s="67"/>
      <c r="E2" s="67"/>
      <c r="F2" s="67"/>
      <c r="G2" s="67"/>
      <c r="H2" s="67"/>
      <c r="I2" s="67"/>
    </row>
    <row r="4" spans="1:9">
      <c r="A4" s="71" t="s">
        <v>1968</v>
      </c>
      <c r="B4" s="72"/>
      <c r="C4" s="72"/>
      <c r="D4" s="72"/>
      <c r="E4" s="72"/>
      <c r="F4" s="72"/>
      <c r="G4" s="72"/>
      <c r="H4" s="72"/>
      <c r="I4" s="73"/>
    </row>
    <row r="5" spans="1:9" ht="26.4" customHeight="1">
      <c r="A5" s="1" t="s">
        <v>1969</v>
      </c>
      <c r="B5" s="2" t="s">
        <v>1970</v>
      </c>
      <c r="C5" s="2" t="s">
        <v>1971</v>
      </c>
      <c r="D5" s="3" t="s">
        <v>1972</v>
      </c>
      <c r="F5" s="1" t="s">
        <v>1973</v>
      </c>
      <c r="G5" s="2" t="s">
        <v>1974</v>
      </c>
      <c r="H5" s="2" t="s">
        <v>1975</v>
      </c>
      <c r="I5" s="3" t="s">
        <v>1976</v>
      </c>
    </row>
    <row r="6" spans="1:9" ht="91.2" customHeight="1">
      <c r="A6" s="10" t="s">
        <v>612</v>
      </c>
      <c r="B6" s="10" t="s">
        <v>1977</v>
      </c>
      <c r="C6" s="10" t="s">
        <v>1978</v>
      </c>
      <c r="D6" s="10" t="s">
        <v>1979</v>
      </c>
      <c r="F6" s="10" t="s">
        <v>1980</v>
      </c>
      <c r="G6" s="10" t="s">
        <v>1981</v>
      </c>
      <c r="H6" s="10" t="s">
        <v>1982</v>
      </c>
      <c r="I6" s="10" t="s">
        <v>1983</v>
      </c>
    </row>
    <row r="7" spans="1:9" ht="125.4" customHeight="1">
      <c r="A7" s="11" t="s">
        <v>1984</v>
      </c>
      <c r="B7" s="11" t="s">
        <v>1985</v>
      </c>
      <c r="C7" s="11" t="s">
        <v>1986</v>
      </c>
      <c r="D7" s="11" t="s">
        <v>1987</v>
      </c>
      <c r="F7" s="11" t="s">
        <v>1988</v>
      </c>
      <c r="G7" s="11" t="s">
        <v>1989</v>
      </c>
      <c r="H7" s="11" t="s">
        <v>1990</v>
      </c>
      <c r="I7" s="11" t="s">
        <v>1991</v>
      </c>
    </row>
    <row r="8" spans="1:9" ht="79.8" customHeight="1">
      <c r="A8" s="11" t="s">
        <v>1992</v>
      </c>
      <c r="B8" s="11" t="s">
        <v>1993</v>
      </c>
      <c r="C8" s="11" t="s">
        <v>1994</v>
      </c>
      <c r="D8" s="11" t="s">
        <v>1995</v>
      </c>
      <c r="F8" s="11" t="s">
        <v>1996</v>
      </c>
      <c r="G8" s="11" t="s">
        <v>1327</v>
      </c>
      <c r="H8" s="11" t="s">
        <v>1997</v>
      </c>
      <c r="I8" s="11" t="s">
        <v>1998</v>
      </c>
    </row>
    <row r="11" spans="1:9">
      <c r="A11" s="1" t="s">
        <v>1041</v>
      </c>
      <c r="B11" s="2" t="s">
        <v>1031</v>
      </c>
      <c r="C11" s="2" t="s">
        <v>1999</v>
      </c>
      <c r="D11" s="2" t="s">
        <v>2000</v>
      </c>
      <c r="E11" s="3" t="s">
        <v>2001</v>
      </c>
    </row>
    <row r="12" spans="1:9" ht="22.8" customHeight="1">
      <c r="A12" s="10">
        <v>1</v>
      </c>
      <c r="B12" s="10" t="s">
        <v>2002</v>
      </c>
      <c r="C12" s="10" t="s">
        <v>1327</v>
      </c>
      <c r="D12" s="10" t="s">
        <v>2003</v>
      </c>
      <c r="E12" s="10" t="s">
        <v>2004</v>
      </c>
    </row>
    <row r="13" spans="1:9">
      <c r="A13" s="11">
        <v>2</v>
      </c>
      <c r="B13" s="11" t="s">
        <v>2005</v>
      </c>
      <c r="C13" s="11" t="s">
        <v>2006</v>
      </c>
      <c r="D13" s="11" t="s">
        <v>2007</v>
      </c>
      <c r="E13" s="11" t="s">
        <v>2008</v>
      </c>
    </row>
    <row r="14" spans="1:9">
      <c r="A14" s="11">
        <v>3</v>
      </c>
      <c r="B14" s="11" t="s">
        <v>2009</v>
      </c>
      <c r="C14" s="11" t="s">
        <v>612</v>
      </c>
      <c r="D14" s="11" t="s">
        <v>2010</v>
      </c>
      <c r="E14" s="11" t="s">
        <v>2011</v>
      </c>
    </row>
    <row r="15" spans="1:9" ht="22.8" customHeight="1">
      <c r="A15" s="11">
        <v>4</v>
      </c>
      <c r="B15" s="11" t="s">
        <v>2012</v>
      </c>
      <c r="C15" s="11" t="s">
        <v>1984</v>
      </c>
      <c r="D15" s="11" t="s">
        <v>2013</v>
      </c>
      <c r="E15" s="11" t="s">
        <v>2014</v>
      </c>
    </row>
    <row r="16" spans="1:9" ht="22.8" customHeight="1">
      <c r="A16" s="11">
        <v>5</v>
      </c>
      <c r="B16" s="11" t="s">
        <v>2015</v>
      </c>
      <c r="C16" s="11" t="s">
        <v>1620</v>
      </c>
      <c r="D16" s="11" t="s">
        <v>2016</v>
      </c>
      <c r="E16" s="11" t="s">
        <v>2017</v>
      </c>
    </row>
    <row r="17" spans="1:9" ht="22.8" customHeight="1">
      <c r="A17" s="11">
        <v>6</v>
      </c>
      <c r="B17" s="11" t="s">
        <v>2018</v>
      </c>
      <c r="C17" s="11" t="s">
        <v>1620</v>
      </c>
      <c r="D17" s="11" t="s">
        <v>2019</v>
      </c>
      <c r="E17" s="11" t="s">
        <v>2020</v>
      </c>
    </row>
    <row r="18" spans="1:9" ht="22.8" customHeight="1">
      <c r="A18" s="11">
        <v>7</v>
      </c>
      <c r="B18" s="11" t="s">
        <v>2021</v>
      </c>
      <c r="C18" s="11" t="s">
        <v>1620</v>
      </c>
      <c r="D18" s="11" t="s">
        <v>2022</v>
      </c>
      <c r="E18" s="11" t="s">
        <v>2023</v>
      </c>
    </row>
    <row r="19" spans="1:9" ht="22.8" customHeight="1">
      <c r="A19" s="11">
        <v>8</v>
      </c>
      <c r="B19" s="11" t="s">
        <v>2024</v>
      </c>
      <c r="C19" s="11" t="s">
        <v>1620</v>
      </c>
      <c r="D19" s="11" t="s">
        <v>2025</v>
      </c>
      <c r="E19" s="11" t="s">
        <v>2026</v>
      </c>
    </row>
    <row r="20" spans="1:9">
      <c r="A20" s="11">
        <v>9</v>
      </c>
      <c r="B20" s="11" t="s">
        <v>2027</v>
      </c>
      <c r="C20" s="11" t="s">
        <v>1620</v>
      </c>
      <c r="D20" s="11" t="s">
        <v>2028</v>
      </c>
      <c r="E20" s="11" t="s">
        <v>2029</v>
      </c>
    </row>
    <row r="21" spans="1:9" ht="22.8" customHeight="1">
      <c r="A21" s="11">
        <v>10</v>
      </c>
      <c r="B21" s="11" t="s">
        <v>2030</v>
      </c>
      <c r="C21" s="11" t="s">
        <v>1620</v>
      </c>
      <c r="D21" s="11" t="s">
        <v>2031</v>
      </c>
      <c r="E21" s="11" t="s">
        <v>2032</v>
      </c>
    </row>
    <row r="22" spans="1:9" ht="22.8" customHeight="1">
      <c r="A22" s="11">
        <v>11</v>
      </c>
      <c r="B22" s="11" t="s">
        <v>2033</v>
      </c>
      <c r="C22" s="11" t="s">
        <v>1620</v>
      </c>
      <c r="D22" s="11" t="s">
        <v>2034</v>
      </c>
      <c r="E22" s="11" t="s">
        <v>2035</v>
      </c>
    </row>
    <row r="23" spans="1:9">
      <c r="A23" s="11">
        <v>12</v>
      </c>
      <c r="B23" s="11" t="s">
        <v>2036</v>
      </c>
      <c r="C23" s="11" t="s">
        <v>1620</v>
      </c>
      <c r="D23" s="11" t="s">
        <v>2037</v>
      </c>
      <c r="E23" s="11" t="s">
        <v>2038</v>
      </c>
    </row>
    <row r="24" spans="1:9" ht="22.8" customHeight="1">
      <c r="A24" s="11">
        <v>13</v>
      </c>
      <c r="B24" s="11" t="s">
        <v>2039</v>
      </c>
      <c r="C24" s="11" t="s">
        <v>1620</v>
      </c>
      <c r="D24" s="11" t="s">
        <v>2040</v>
      </c>
      <c r="E24" s="11" t="s">
        <v>2041</v>
      </c>
    </row>
    <row r="25" spans="1:9">
      <c r="A25" s="11">
        <v>14</v>
      </c>
      <c r="B25" s="11" t="s">
        <v>2042</v>
      </c>
      <c r="C25" s="11" t="s">
        <v>1620</v>
      </c>
      <c r="D25" s="11" t="s">
        <v>2043</v>
      </c>
      <c r="E25" s="11" t="s">
        <v>2044</v>
      </c>
    </row>
    <row r="26" spans="1:9">
      <c r="A26" s="11">
        <v>15</v>
      </c>
      <c r="B26" s="11" t="s">
        <v>2045</v>
      </c>
      <c r="C26" s="11" t="s">
        <v>1620</v>
      </c>
      <c r="D26" s="11" t="s">
        <v>2046</v>
      </c>
      <c r="E26" s="11" t="s">
        <v>2047</v>
      </c>
    </row>
    <row r="27" spans="1:9" ht="22.8" customHeight="1">
      <c r="A27" s="11">
        <v>16</v>
      </c>
      <c r="B27" s="11" t="s">
        <v>2048</v>
      </c>
      <c r="C27" s="11" t="s">
        <v>1327</v>
      </c>
      <c r="D27" s="11" t="s">
        <v>2049</v>
      </c>
      <c r="E27" s="11" t="s">
        <v>2050</v>
      </c>
    </row>
    <row r="29" spans="1:9">
      <c r="A29" s="60" t="s">
        <v>2051</v>
      </c>
      <c r="B29" s="72"/>
      <c r="C29" s="72"/>
      <c r="D29" s="72"/>
      <c r="E29" s="72"/>
      <c r="F29" s="72"/>
      <c r="G29" s="72"/>
      <c r="H29" s="72"/>
      <c r="I29" s="73"/>
    </row>
  </sheetData>
  <mergeCells count="4">
    <mergeCell ref="A1:I1"/>
    <mergeCell ref="A4:I4"/>
    <mergeCell ref="A2:I2"/>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66" t="s">
        <v>2052</v>
      </c>
      <c r="B1" s="67"/>
      <c r="C1" s="67"/>
      <c r="D1" s="67"/>
      <c r="E1" s="67"/>
      <c r="F1" s="67"/>
      <c r="G1" s="67"/>
    </row>
    <row r="2" spans="1:7" ht="31.95" customHeight="1">
      <c r="A2" s="75" t="s">
        <v>2053</v>
      </c>
      <c r="B2" s="67"/>
      <c r="C2" s="67"/>
      <c r="D2" s="67"/>
      <c r="E2" s="67"/>
      <c r="F2" s="67"/>
      <c r="G2" s="67"/>
    </row>
    <row r="5" spans="1:7" ht="28.05" customHeight="1">
      <c r="A5" s="1" t="s">
        <v>1888</v>
      </c>
      <c r="B5" s="2" t="s">
        <v>2054</v>
      </c>
      <c r="C5" s="2" t="s">
        <v>5</v>
      </c>
      <c r="D5" s="2" t="s">
        <v>2055</v>
      </c>
      <c r="E5" s="2" t="s">
        <v>2056</v>
      </c>
      <c r="F5" s="2" t="s">
        <v>2057</v>
      </c>
      <c r="G5" s="3" t="s">
        <v>2058</v>
      </c>
    </row>
    <row r="6" spans="1:7">
      <c r="A6" s="10" t="s">
        <v>2059</v>
      </c>
      <c r="B6" s="10" t="s">
        <v>2060</v>
      </c>
      <c r="C6" s="10" t="s">
        <v>2061</v>
      </c>
      <c r="D6" s="10" t="s">
        <v>1551</v>
      </c>
      <c r="E6" s="10" t="s">
        <v>2062</v>
      </c>
      <c r="F6" s="10" t="s">
        <v>2063</v>
      </c>
      <c r="G6" s="10" t="s">
        <v>2064</v>
      </c>
    </row>
    <row r="7" spans="1:7">
      <c r="A7" s="11" t="s">
        <v>2059</v>
      </c>
      <c r="B7" s="11" t="s">
        <v>2065</v>
      </c>
      <c r="C7" s="11" t="s">
        <v>2061</v>
      </c>
      <c r="D7" s="11" t="s">
        <v>2066</v>
      </c>
      <c r="E7" s="11" t="s">
        <v>2067</v>
      </c>
      <c r="F7" s="11" t="s">
        <v>2068</v>
      </c>
      <c r="G7" s="11" t="s">
        <v>2069</v>
      </c>
    </row>
    <row r="8" spans="1:7">
      <c r="A8" s="11" t="s">
        <v>2059</v>
      </c>
      <c r="B8" s="11" t="s">
        <v>2070</v>
      </c>
      <c r="C8" s="11" t="s">
        <v>2061</v>
      </c>
      <c r="D8" s="11" t="s">
        <v>2066</v>
      </c>
      <c r="E8" s="11" t="s">
        <v>2071</v>
      </c>
      <c r="F8" s="11" t="s">
        <v>2072</v>
      </c>
      <c r="G8" s="11" t="s">
        <v>2073</v>
      </c>
    </row>
    <row r="9" spans="1:7">
      <c r="A9" s="11" t="s">
        <v>2059</v>
      </c>
      <c r="B9" s="11" t="s">
        <v>2074</v>
      </c>
      <c r="C9" s="11" t="s">
        <v>2061</v>
      </c>
      <c r="D9" s="11" t="s">
        <v>2066</v>
      </c>
      <c r="E9" s="11" t="s">
        <v>2075</v>
      </c>
      <c r="F9" s="11" t="s">
        <v>2076</v>
      </c>
      <c r="G9" s="11" t="s">
        <v>2077</v>
      </c>
    </row>
    <row r="10" spans="1:7">
      <c r="A10" s="11" t="s">
        <v>2059</v>
      </c>
      <c r="B10" s="11" t="s">
        <v>2078</v>
      </c>
      <c r="C10" s="11" t="s">
        <v>2061</v>
      </c>
      <c r="D10" s="11" t="s">
        <v>2066</v>
      </c>
      <c r="E10" s="11" t="s">
        <v>2079</v>
      </c>
      <c r="F10" s="11" t="s">
        <v>2080</v>
      </c>
      <c r="G10" s="11" t="s">
        <v>2081</v>
      </c>
    </row>
    <row r="11" spans="1:7">
      <c r="A11" s="11" t="s">
        <v>2082</v>
      </c>
      <c r="B11" s="11" t="s">
        <v>2083</v>
      </c>
      <c r="C11" s="11" t="s">
        <v>25</v>
      </c>
      <c r="D11" s="11" t="s">
        <v>2084</v>
      </c>
      <c r="E11" s="11" t="s">
        <v>2085</v>
      </c>
      <c r="F11" s="11" t="s">
        <v>2086</v>
      </c>
      <c r="G11" s="11" t="s">
        <v>2087</v>
      </c>
    </row>
    <row r="12" spans="1:7">
      <c r="A12" s="11" t="s">
        <v>2082</v>
      </c>
      <c r="B12" s="11" t="s">
        <v>2088</v>
      </c>
      <c r="C12" s="11" t="s">
        <v>25</v>
      </c>
      <c r="D12" s="11" t="s">
        <v>499</v>
      </c>
      <c r="E12" s="11" t="s">
        <v>2089</v>
      </c>
      <c r="F12" s="11" t="s">
        <v>2090</v>
      </c>
      <c r="G12" s="11" t="s">
        <v>2091</v>
      </c>
    </row>
    <row r="13" spans="1:7">
      <c r="A13" s="11" t="s">
        <v>2092</v>
      </c>
      <c r="B13" s="11" t="s">
        <v>2093</v>
      </c>
      <c r="C13" s="11" t="s">
        <v>2061</v>
      </c>
      <c r="D13" s="11" t="s">
        <v>1551</v>
      </c>
      <c r="E13" s="11" t="s">
        <v>2094</v>
      </c>
      <c r="F13" s="11" t="s">
        <v>2095</v>
      </c>
      <c r="G13" s="11" t="s">
        <v>2096</v>
      </c>
    </row>
    <row r="14" spans="1:7">
      <c r="A14" s="11" t="s">
        <v>2092</v>
      </c>
      <c r="B14" s="11" t="s">
        <v>2097</v>
      </c>
      <c r="C14" s="11" t="s">
        <v>2061</v>
      </c>
      <c r="D14" s="11" t="s">
        <v>1551</v>
      </c>
      <c r="E14" s="11" t="s">
        <v>2098</v>
      </c>
      <c r="F14" s="11" t="s">
        <v>2099</v>
      </c>
      <c r="G14" s="11" t="s">
        <v>2100</v>
      </c>
    </row>
    <row r="15" spans="1:7">
      <c r="A15" s="11" t="s">
        <v>2092</v>
      </c>
      <c r="B15" s="11" t="s">
        <v>2101</v>
      </c>
      <c r="C15" s="11" t="s">
        <v>2061</v>
      </c>
      <c r="D15" s="11" t="s">
        <v>2102</v>
      </c>
      <c r="E15" s="11" t="s">
        <v>2103</v>
      </c>
      <c r="F15" s="11" t="s">
        <v>2104</v>
      </c>
      <c r="G15" s="11" t="s">
        <v>2105</v>
      </c>
    </row>
    <row r="16" spans="1:7">
      <c r="A16" s="11" t="s">
        <v>2092</v>
      </c>
      <c r="B16" s="11" t="s">
        <v>2106</v>
      </c>
      <c r="C16" s="11" t="s">
        <v>2061</v>
      </c>
      <c r="D16" s="11" t="s">
        <v>2107</v>
      </c>
      <c r="E16" s="11" t="s">
        <v>2108</v>
      </c>
      <c r="F16" s="11" t="s">
        <v>2109</v>
      </c>
      <c r="G16" s="11" t="s">
        <v>2110</v>
      </c>
    </row>
    <row r="17" spans="1:7">
      <c r="A17" s="11" t="s">
        <v>2111</v>
      </c>
      <c r="B17" s="11" t="s">
        <v>2112</v>
      </c>
      <c r="C17" s="11" t="s">
        <v>2061</v>
      </c>
      <c r="D17" s="11" t="s">
        <v>2113</v>
      </c>
      <c r="E17" s="11" t="s">
        <v>2114</v>
      </c>
      <c r="F17" s="11" t="s">
        <v>2115</v>
      </c>
      <c r="G17" s="11" t="s">
        <v>2116</v>
      </c>
    </row>
    <row r="18" spans="1:7" ht="22.8" customHeight="1">
      <c r="A18" s="11" t="s">
        <v>396</v>
      </c>
      <c r="B18" s="11" t="s">
        <v>2117</v>
      </c>
      <c r="C18" s="11" t="s">
        <v>25</v>
      </c>
      <c r="D18" s="11" t="s">
        <v>347</v>
      </c>
      <c r="E18" s="11" t="s">
        <v>2118</v>
      </c>
      <c r="F18" s="11" t="s">
        <v>2119</v>
      </c>
      <c r="G18" s="11" t="s">
        <v>2120</v>
      </c>
    </row>
    <row r="19" spans="1:7">
      <c r="A19" s="11" t="s">
        <v>396</v>
      </c>
      <c r="B19" s="11" t="s">
        <v>2121</v>
      </c>
      <c r="C19" s="11" t="s">
        <v>314</v>
      </c>
      <c r="D19" s="11" t="s">
        <v>1551</v>
      </c>
      <c r="E19" s="11" t="s">
        <v>2122</v>
      </c>
      <c r="F19" s="11" t="s">
        <v>2123</v>
      </c>
      <c r="G19" s="11" t="s">
        <v>2124</v>
      </c>
    </row>
    <row r="20" spans="1:7">
      <c r="A20" s="11" t="s">
        <v>1664</v>
      </c>
      <c r="B20" s="11" t="s">
        <v>2125</v>
      </c>
      <c r="C20" s="11" t="s">
        <v>25</v>
      </c>
      <c r="D20" s="11" t="s">
        <v>347</v>
      </c>
      <c r="E20" s="11" t="s">
        <v>2126</v>
      </c>
      <c r="F20" s="11" t="s">
        <v>2127</v>
      </c>
      <c r="G20" s="11" t="s">
        <v>2128</v>
      </c>
    </row>
    <row r="21" spans="1:7">
      <c r="A21" s="11" t="s">
        <v>1664</v>
      </c>
      <c r="B21" s="11" t="s">
        <v>2129</v>
      </c>
      <c r="C21" s="11" t="s">
        <v>25</v>
      </c>
      <c r="D21" s="11" t="s">
        <v>347</v>
      </c>
      <c r="E21" s="11" t="s">
        <v>2130</v>
      </c>
      <c r="F21" s="11" t="s">
        <v>2131</v>
      </c>
      <c r="G21" s="11" t="s">
        <v>2132</v>
      </c>
    </row>
    <row r="22" spans="1:7">
      <c r="A22" s="11" t="s">
        <v>1664</v>
      </c>
      <c r="B22" s="11" t="s">
        <v>2133</v>
      </c>
      <c r="C22" s="11" t="s">
        <v>314</v>
      </c>
      <c r="D22" s="11" t="s">
        <v>1551</v>
      </c>
      <c r="E22" s="11" t="s">
        <v>2134</v>
      </c>
      <c r="F22" s="11" t="s">
        <v>2135</v>
      </c>
      <c r="G22" s="11" t="s">
        <v>2136</v>
      </c>
    </row>
    <row r="23" spans="1:7">
      <c r="A23" s="11" t="s">
        <v>2137</v>
      </c>
      <c r="B23" s="11" t="s">
        <v>2138</v>
      </c>
      <c r="C23" s="11" t="s">
        <v>25</v>
      </c>
      <c r="D23" s="11" t="s">
        <v>499</v>
      </c>
      <c r="E23" s="11" t="s">
        <v>2139</v>
      </c>
      <c r="F23" s="11" t="s">
        <v>2140</v>
      </c>
      <c r="G23" s="11" t="s">
        <v>2141</v>
      </c>
    </row>
    <row r="24" spans="1:7">
      <c r="A24" s="11" t="s">
        <v>2137</v>
      </c>
      <c r="B24" s="11" t="s">
        <v>2142</v>
      </c>
      <c r="C24" s="11" t="s">
        <v>2061</v>
      </c>
      <c r="D24" s="11" t="s">
        <v>2143</v>
      </c>
      <c r="E24" s="11" t="s">
        <v>2144</v>
      </c>
      <c r="F24" s="11" t="s">
        <v>2145</v>
      </c>
      <c r="G24" s="11" t="s">
        <v>2146</v>
      </c>
    </row>
    <row r="25" spans="1:7">
      <c r="A25" s="11" t="s">
        <v>2137</v>
      </c>
      <c r="B25" s="11" t="s">
        <v>2147</v>
      </c>
      <c r="C25" s="11" t="s">
        <v>2061</v>
      </c>
      <c r="D25" s="11" t="s">
        <v>2143</v>
      </c>
      <c r="E25" s="11" t="s">
        <v>2148</v>
      </c>
      <c r="F25" s="11" t="s">
        <v>2149</v>
      </c>
      <c r="G25" s="11" t="s">
        <v>2150</v>
      </c>
    </row>
    <row r="26" spans="1:7">
      <c r="A26" s="11" t="s">
        <v>2137</v>
      </c>
      <c r="B26" s="11" t="s">
        <v>2151</v>
      </c>
      <c r="C26" s="11" t="s">
        <v>2061</v>
      </c>
      <c r="D26" s="11" t="s">
        <v>2066</v>
      </c>
      <c r="E26" s="11" t="s">
        <v>2152</v>
      </c>
      <c r="F26" s="11" t="s">
        <v>2153</v>
      </c>
      <c r="G26" s="11" t="s">
        <v>2154</v>
      </c>
    </row>
    <row r="27" spans="1:7">
      <c r="A27" s="11" t="s">
        <v>2155</v>
      </c>
      <c r="B27" s="11" t="s">
        <v>2156</v>
      </c>
      <c r="C27" s="11" t="s">
        <v>25</v>
      </c>
      <c r="D27" s="11" t="s">
        <v>1299</v>
      </c>
      <c r="E27" s="11" t="s">
        <v>2157</v>
      </c>
      <c r="F27" s="11" t="s">
        <v>2127</v>
      </c>
      <c r="G27" s="11" t="s">
        <v>2158</v>
      </c>
    </row>
    <row r="28" spans="1:7">
      <c r="A28" s="11" t="s">
        <v>2155</v>
      </c>
      <c r="B28" s="11" t="s">
        <v>2159</v>
      </c>
      <c r="C28" s="11" t="s">
        <v>2061</v>
      </c>
      <c r="D28" s="11" t="s">
        <v>2160</v>
      </c>
      <c r="E28" s="11" t="s">
        <v>2161</v>
      </c>
      <c r="F28" s="11" t="s">
        <v>2162</v>
      </c>
      <c r="G28" s="11" t="s">
        <v>2163</v>
      </c>
    </row>
    <row r="29" spans="1:7">
      <c r="A29" s="11" t="s">
        <v>2164</v>
      </c>
      <c r="B29" s="11" t="s">
        <v>2165</v>
      </c>
      <c r="C29" s="11" t="s">
        <v>314</v>
      </c>
      <c r="D29" s="11" t="s">
        <v>2166</v>
      </c>
      <c r="E29" s="11" t="s">
        <v>2167</v>
      </c>
      <c r="F29" s="11" t="s">
        <v>2168</v>
      </c>
      <c r="G29" s="11" t="s">
        <v>2169</v>
      </c>
    </row>
    <row r="30" spans="1:7">
      <c r="A30" s="11" t="s">
        <v>2164</v>
      </c>
      <c r="B30" s="11" t="s">
        <v>2170</v>
      </c>
      <c r="C30" s="11" t="s">
        <v>2061</v>
      </c>
      <c r="D30" s="11" t="s">
        <v>2166</v>
      </c>
      <c r="E30" s="11" t="s">
        <v>2171</v>
      </c>
      <c r="F30" s="11" t="s">
        <v>2172</v>
      </c>
      <c r="G30" s="11" t="s">
        <v>2173</v>
      </c>
    </row>
    <row r="31" spans="1:7">
      <c r="A31" s="11" t="s">
        <v>2174</v>
      </c>
      <c r="B31" s="11" t="s">
        <v>2175</v>
      </c>
      <c r="C31" s="11" t="s">
        <v>2061</v>
      </c>
      <c r="D31" s="11" t="s">
        <v>2176</v>
      </c>
      <c r="E31" s="11" t="s">
        <v>2177</v>
      </c>
      <c r="F31" s="11" t="s">
        <v>2178</v>
      </c>
      <c r="G31" s="11" t="s">
        <v>2179</v>
      </c>
    </row>
    <row r="32" spans="1:7">
      <c r="A32" s="11" t="s">
        <v>241</v>
      </c>
      <c r="B32" s="11" t="s">
        <v>2180</v>
      </c>
      <c r="C32" s="11" t="s">
        <v>25</v>
      </c>
      <c r="D32" s="11" t="s">
        <v>195</v>
      </c>
      <c r="E32" s="11" t="s">
        <v>2181</v>
      </c>
      <c r="F32" s="11" t="s">
        <v>2182</v>
      </c>
      <c r="G32" s="11" t="s">
        <v>2183</v>
      </c>
    </row>
    <row r="33" spans="1:7">
      <c r="A33" s="11" t="s">
        <v>241</v>
      </c>
      <c r="B33" s="11" t="s">
        <v>2184</v>
      </c>
      <c r="C33" s="11" t="s">
        <v>2061</v>
      </c>
      <c r="D33" s="11" t="s">
        <v>2102</v>
      </c>
      <c r="E33" s="11" t="s">
        <v>2185</v>
      </c>
      <c r="F33" s="11" t="s">
        <v>2186</v>
      </c>
      <c r="G33" s="11" t="s">
        <v>2187</v>
      </c>
    </row>
    <row r="34" spans="1:7">
      <c r="A34" s="11" t="s">
        <v>2188</v>
      </c>
      <c r="B34" s="11" t="s">
        <v>1225</v>
      </c>
      <c r="C34" s="11" t="s">
        <v>25</v>
      </c>
      <c r="D34" s="11" t="s">
        <v>195</v>
      </c>
      <c r="E34" s="11" t="s">
        <v>2189</v>
      </c>
      <c r="F34" s="11" t="s">
        <v>2190</v>
      </c>
      <c r="G34" s="11" t="s">
        <v>2191</v>
      </c>
    </row>
    <row r="35" spans="1:7" ht="22.8" customHeight="1">
      <c r="A35" s="11" t="s">
        <v>2188</v>
      </c>
      <c r="B35" s="11" t="s">
        <v>1230</v>
      </c>
      <c r="C35" s="11" t="s">
        <v>2192</v>
      </c>
      <c r="D35" s="11" t="s">
        <v>645</v>
      </c>
      <c r="E35" s="11" t="s">
        <v>2193</v>
      </c>
      <c r="F35" s="11" t="s">
        <v>2194</v>
      </c>
      <c r="G35" s="11" t="s">
        <v>2195</v>
      </c>
    </row>
    <row r="36" spans="1:7">
      <c r="A36" s="11" t="s">
        <v>2188</v>
      </c>
      <c r="B36" s="11" t="s">
        <v>2196</v>
      </c>
      <c r="C36" s="11" t="s">
        <v>2061</v>
      </c>
      <c r="D36" s="11" t="s">
        <v>2197</v>
      </c>
      <c r="E36" s="11" t="s">
        <v>2198</v>
      </c>
      <c r="F36" s="11" t="s">
        <v>2199</v>
      </c>
      <c r="G36" s="11" t="s">
        <v>2200</v>
      </c>
    </row>
    <row r="37" spans="1:7">
      <c r="A37" s="11" t="s">
        <v>2188</v>
      </c>
      <c r="B37" s="11" t="s">
        <v>2201</v>
      </c>
      <c r="C37" s="11" t="s">
        <v>2061</v>
      </c>
      <c r="D37" s="11" t="s">
        <v>2202</v>
      </c>
      <c r="E37" s="11" t="s">
        <v>2203</v>
      </c>
      <c r="F37" s="11" t="s">
        <v>2199</v>
      </c>
      <c r="G37" s="11" t="s">
        <v>2204</v>
      </c>
    </row>
    <row r="38" spans="1:7">
      <c r="A38" s="11" t="s">
        <v>2188</v>
      </c>
      <c r="B38" s="11" t="s">
        <v>2205</v>
      </c>
      <c r="C38" s="11" t="s">
        <v>2061</v>
      </c>
      <c r="D38" s="11" t="s">
        <v>2206</v>
      </c>
      <c r="E38" s="11" t="s">
        <v>2207</v>
      </c>
      <c r="F38" s="11" t="s">
        <v>2208</v>
      </c>
      <c r="G38" s="11" t="s">
        <v>2209</v>
      </c>
    </row>
    <row r="39" spans="1:7">
      <c r="A39" s="11" t="s">
        <v>2188</v>
      </c>
      <c r="B39" s="11" t="s">
        <v>2210</v>
      </c>
      <c r="C39" s="11" t="s">
        <v>2061</v>
      </c>
      <c r="D39" s="11" t="s">
        <v>2211</v>
      </c>
      <c r="E39" s="11" t="s">
        <v>2212</v>
      </c>
      <c r="F39" s="11" t="s">
        <v>2208</v>
      </c>
      <c r="G39" s="11" t="s">
        <v>2213</v>
      </c>
    </row>
    <row r="40" spans="1:7">
      <c r="A40" s="11" t="s">
        <v>2188</v>
      </c>
      <c r="B40" s="11" t="s">
        <v>2214</v>
      </c>
      <c r="C40" s="11" t="s">
        <v>2061</v>
      </c>
      <c r="D40" s="11" t="s">
        <v>2215</v>
      </c>
      <c r="E40" s="11" t="s">
        <v>2216</v>
      </c>
      <c r="F40" s="11" t="s">
        <v>2208</v>
      </c>
      <c r="G40" s="11" t="s">
        <v>2217</v>
      </c>
    </row>
    <row r="41" spans="1:7">
      <c r="A41" s="11" t="s">
        <v>2218</v>
      </c>
      <c r="B41" s="11" t="s">
        <v>2219</v>
      </c>
      <c r="C41" s="11" t="s">
        <v>314</v>
      </c>
      <c r="D41" s="11" t="s">
        <v>2220</v>
      </c>
      <c r="E41" s="11" t="s">
        <v>2221</v>
      </c>
      <c r="F41" s="11" t="s">
        <v>2222</v>
      </c>
      <c r="G41" s="11" t="s">
        <v>2223</v>
      </c>
    </row>
    <row r="42" spans="1:7">
      <c r="A42" s="11" t="s">
        <v>2218</v>
      </c>
      <c r="B42" s="11" t="s">
        <v>2224</v>
      </c>
      <c r="C42" s="11" t="s">
        <v>2061</v>
      </c>
      <c r="D42" s="11" t="s">
        <v>2225</v>
      </c>
      <c r="E42" s="11" t="s">
        <v>2226</v>
      </c>
      <c r="F42" s="11" t="s">
        <v>2227</v>
      </c>
      <c r="G42" s="11" t="s">
        <v>2228</v>
      </c>
    </row>
    <row r="43" spans="1:7">
      <c r="A43" s="11" t="s">
        <v>2218</v>
      </c>
      <c r="B43" s="11" t="s">
        <v>2229</v>
      </c>
      <c r="C43" s="11" t="s">
        <v>2061</v>
      </c>
      <c r="D43" s="11" t="s">
        <v>2230</v>
      </c>
      <c r="E43" s="11" t="s">
        <v>2231</v>
      </c>
      <c r="F43" s="11" t="s">
        <v>2232</v>
      </c>
      <c r="G43" s="11" t="s">
        <v>2233</v>
      </c>
    </row>
    <row r="44" spans="1:7">
      <c r="A44" s="11" t="s">
        <v>2234</v>
      </c>
      <c r="B44" s="11" t="s">
        <v>2235</v>
      </c>
      <c r="C44" s="11" t="s">
        <v>314</v>
      </c>
      <c r="D44" s="11" t="s">
        <v>2220</v>
      </c>
      <c r="E44" s="11" t="s">
        <v>2236</v>
      </c>
      <c r="F44" s="11" t="s">
        <v>2237</v>
      </c>
      <c r="G44" s="11" t="s">
        <v>2238</v>
      </c>
    </row>
    <row r="45" spans="1:7">
      <c r="A45" s="11" t="s">
        <v>2234</v>
      </c>
      <c r="B45" s="11" t="s">
        <v>2239</v>
      </c>
      <c r="C45" s="11" t="s">
        <v>2061</v>
      </c>
      <c r="D45" s="11" t="s">
        <v>2230</v>
      </c>
      <c r="E45" s="11" t="s">
        <v>2240</v>
      </c>
      <c r="F45" s="11" t="s">
        <v>2241</v>
      </c>
      <c r="G45" s="11" t="s">
        <v>2242</v>
      </c>
    </row>
    <row r="46" spans="1:7">
      <c r="A46" s="11" t="s">
        <v>2234</v>
      </c>
      <c r="B46" s="11" t="s">
        <v>2243</v>
      </c>
      <c r="C46" s="11" t="s">
        <v>2061</v>
      </c>
      <c r="D46" s="11" t="s">
        <v>2230</v>
      </c>
      <c r="E46" s="11" t="s">
        <v>2244</v>
      </c>
      <c r="F46" s="11" t="s">
        <v>2245</v>
      </c>
      <c r="G46" s="11" t="s">
        <v>2246</v>
      </c>
    </row>
    <row r="47" spans="1:7">
      <c r="A47" s="11" t="s">
        <v>2247</v>
      </c>
      <c r="B47" s="11" t="s">
        <v>2248</v>
      </c>
      <c r="C47" s="11" t="s">
        <v>314</v>
      </c>
      <c r="D47" s="11" t="s">
        <v>2220</v>
      </c>
      <c r="E47" s="11" t="s">
        <v>2249</v>
      </c>
      <c r="F47" s="11" t="s">
        <v>2250</v>
      </c>
      <c r="G47" s="11" t="s">
        <v>2251</v>
      </c>
    </row>
    <row r="48" spans="1:7">
      <c r="A48" s="11" t="s">
        <v>2247</v>
      </c>
      <c r="B48" s="11" t="s">
        <v>2252</v>
      </c>
      <c r="C48" s="11" t="s">
        <v>2061</v>
      </c>
      <c r="D48" s="11" t="s">
        <v>2253</v>
      </c>
      <c r="E48" s="11" t="s">
        <v>2254</v>
      </c>
      <c r="F48" s="11" t="s">
        <v>2255</v>
      </c>
      <c r="G48" s="11" t="s">
        <v>2256</v>
      </c>
    </row>
    <row r="49" spans="1:7">
      <c r="A49" s="11" t="s">
        <v>43</v>
      </c>
      <c r="B49" s="11" t="s">
        <v>2257</v>
      </c>
      <c r="C49" s="11" t="s">
        <v>25</v>
      </c>
      <c r="D49" s="11" t="s">
        <v>195</v>
      </c>
      <c r="E49" s="11" t="s">
        <v>2258</v>
      </c>
      <c r="F49" s="11" t="s">
        <v>2259</v>
      </c>
      <c r="G49" s="11" t="s">
        <v>2260</v>
      </c>
    </row>
    <row r="50" spans="1:7">
      <c r="A50" s="11" t="s">
        <v>43</v>
      </c>
      <c r="B50" s="11" t="s">
        <v>2261</v>
      </c>
      <c r="C50" s="11" t="s">
        <v>314</v>
      </c>
      <c r="D50" s="11" t="s">
        <v>2220</v>
      </c>
      <c r="E50" s="11" t="s">
        <v>2262</v>
      </c>
      <c r="F50" s="11" t="s">
        <v>2263</v>
      </c>
      <c r="G50" s="11" t="s">
        <v>2264</v>
      </c>
    </row>
    <row r="51" spans="1:7">
      <c r="A51" s="11" t="s">
        <v>2265</v>
      </c>
      <c r="B51" s="11" t="s">
        <v>1275</v>
      </c>
      <c r="C51" s="11" t="s">
        <v>2266</v>
      </c>
      <c r="D51" s="11" t="s">
        <v>812</v>
      </c>
      <c r="E51" s="11" t="s">
        <v>2267</v>
      </c>
      <c r="F51" s="11" t="s">
        <v>2268</v>
      </c>
      <c r="G51" s="11" t="s">
        <v>2269</v>
      </c>
    </row>
    <row r="52" spans="1:7">
      <c r="A52" s="11" t="s">
        <v>2265</v>
      </c>
      <c r="B52" s="11" t="s">
        <v>2270</v>
      </c>
      <c r="C52" s="11" t="s">
        <v>2271</v>
      </c>
      <c r="D52" s="11" t="s">
        <v>2272</v>
      </c>
      <c r="E52" s="11" t="s">
        <v>2273</v>
      </c>
      <c r="F52" s="11" t="s">
        <v>2274</v>
      </c>
      <c r="G52" s="11" t="s">
        <v>2275</v>
      </c>
    </row>
    <row r="53" spans="1:7">
      <c r="A53" s="11" t="s">
        <v>2276</v>
      </c>
      <c r="B53" s="11" t="s">
        <v>2277</v>
      </c>
      <c r="C53" s="11" t="s">
        <v>25</v>
      </c>
      <c r="D53" s="11" t="s">
        <v>347</v>
      </c>
      <c r="E53" s="11" t="s">
        <v>2278</v>
      </c>
      <c r="F53" s="11" t="s">
        <v>2279</v>
      </c>
      <c r="G53" s="11" t="s">
        <v>2280</v>
      </c>
    </row>
    <row r="54" spans="1:7">
      <c r="A54" s="11" t="s">
        <v>2281</v>
      </c>
      <c r="B54" s="11" t="s">
        <v>2282</v>
      </c>
      <c r="C54" s="11" t="s">
        <v>25</v>
      </c>
      <c r="D54" s="11" t="s">
        <v>1284</v>
      </c>
      <c r="E54" s="11" t="s">
        <v>2283</v>
      </c>
      <c r="F54" s="11" t="s">
        <v>2284</v>
      </c>
      <c r="G54" s="11" t="s">
        <v>2285</v>
      </c>
    </row>
    <row r="55" spans="1:7">
      <c r="A55" s="11" t="s">
        <v>2286</v>
      </c>
      <c r="B55" s="11" t="s">
        <v>2287</v>
      </c>
      <c r="C55" s="11" t="s">
        <v>25</v>
      </c>
      <c r="D55" s="11" t="s">
        <v>2288</v>
      </c>
      <c r="E55" s="11" t="s">
        <v>2289</v>
      </c>
      <c r="F55" s="11" t="s">
        <v>2290</v>
      </c>
      <c r="G55" s="11" t="s">
        <v>2291</v>
      </c>
    </row>
    <row r="56" spans="1:7" ht="22.8" customHeight="1">
      <c r="A56" s="11" t="s">
        <v>1920</v>
      </c>
      <c r="B56" s="11" t="s">
        <v>2292</v>
      </c>
      <c r="C56" s="11" t="s">
        <v>2293</v>
      </c>
      <c r="D56" s="11" t="s">
        <v>645</v>
      </c>
      <c r="E56" s="11" t="s">
        <v>2294</v>
      </c>
      <c r="F56" s="11" t="s">
        <v>2295</v>
      </c>
      <c r="G56" s="11" t="s">
        <v>2296</v>
      </c>
    </row>
    <row r="57" spans="1:7">
      <c r="A57" s="11" t="s">
        <v>1693</v>
      </c>
      <c r="B57" s="11" t="s">
        <v>2297</v>
      </c>
      <c r="C57" s="11" t="s">
        <v>25</v>
      </c>
      <c r="D57" s="11" t="s">
        <v>2298</v>
      </c>
      <c r="E57" s="11" t="s">
        <v>2299</v>
      </c>
      <c r="F57" s="11" t="s">
        <v>2300</v>
      </c>
      <c r="G57" s="11" t="s">
        <v>2301</v>
      </c>
    </row>
    <row r="58" spans="1:7">
      <c r="A58" s="11" t="s">
        <v>2302</v>
      </c>
      <c r="B58" s="11" t="s">
        <v>2303</v>
      </c>
      <c r="C58" s="11" t="s">
        <v>2061</v>
      </c>
      <c r="D58" s="11" t="s">
        <v>1551</v>
      </c>
      <c r="E58" s="11" t="s">
        <v>2304</v>
      </c>
      <c r="F58" s="11" t="s">
        <v>2305</v>
      </c>
      <c r="G58" s="11" t="s">
        <v>2306</v>
      </c>
    </row>
    <row r="59" spans="1:7">
      <c r="A59" s="11" t="s">
        <v>724</v>
      </c>
      <c r="B59" s="11" t="s">
        <v>2307</v>
      </c>
      <c r="C59" s="11" t="s">
        <v>25</v>
      </c>
      <c r="D59" s="11" t="s">
        <v>645</v>
      </c>
      <c r="E59" s="11" t="s">
        <v>2308</v>
      </c>
      <c r="F59" s="11" t="s">
        <v>2309</v>
      </c>
      <c r="G59" s="11" t="s">
        <v>2310</v>
      </c>
    </row>
    <row r="60" spans="1:7" ht="22.8" customHeight="1">
      <c r="A60" s="11" t="s">
        <v>2311</v>
      </c>
      <c r="B60" s="11" t="s">
        <v>2312</v>
      </c>
      <c r="C60" s="11" t="s">
        <v>25</v>
      </c>
      <c r="D60" s="11" t="s">
        <v>1312</v>
      </c>
      <c r="E60" s="11" t="s">
        <v>2313</v>
      </c>
      <c r="F60" s="11" t="s">
        <v>2314</v>
      </c>
      <c r="G60" s="11" t="s">
        <v>2315</v>
      </c>
    </row>
    <row r="61" spans="1:7">
      <c r="A61" s="11" t="s">
        <v>737</v>
      </c>
      <c r="B61" s="11" t="s">
        <v>2316</v>
      </c>
      <c r="C61" s="11" t="s">
        <v>25</v>
      </c>
      <c r="D61" s="11" t="s">
        <v>645</v>
      </c>
      <c r="E61" s="11" t="s">
        <v>2317</v>
      </c>
      <c r="F61" s="11" t="s">
        <v>2318</v>
      </c>
      <c r="G61" s="11" t="s">
        <v>2319</v>
      </c>
    </row>
    <row r="62" spans="1:7">
      <c r="A62" s="11" t="s">
        <v>2320</v>
      </c>
      <c r="B62" s="11" t="s">
        <v>2321</v>
      </c>
      <c r="C62" s="11" t="s">
        <v>25</v>
      </c>
      <c r="D62" s="11" t="s">
        <v>24</v>
      </c>
      <c r="E62" s="11" t="s">
        <v>2322</v>
      </c>
      <c r="F62" s="11" t="s">
        <v>2323</v>
      </c>
      <c r="G62" s="11" t="s">
        <v>2324</v>
      </c>
    </row>
    <row r="63" spans="1:7">
      <c r="A63" s="11" t="s">
        <v>577</v>
      </c>
      <c r="B63" s="11" t="s">
        <v>2325</v>
      </c>
      <c r="C63" s="11" t="s">
        <v>1227</v>
      </c>
      <c r="D63" s="11" t="s">
        <v>812</v>
      </c>
      <c r="E63" s="11" t="s">
        <v>2326</v>
      </c>
      <c r="F63" s="11" t="s">
        <v>2327</v>
      </c>
      <c r="G63" s="11" t="s">
        <v>2328</v>
      </c>
    </row>
    <row r="64" spans="1:7">
      <c r="A64" s="11" t="s">
        <v>577</v>
      </c>
      <c r="B64" s="11" t="s">
        <v>2329</v>
      </c>
      <c r="C64" s="11" t="s">
        <v>2293</v>
      </c>
      <c r="D64" s="11" t="s">
        <v>812</v>
      </c>
      <c r="E64" s="11" t="s">
        <v>2330</v>
      </c>
      <c r="F64" s="11" t="s">
        <v>2331</v>
      </c>
      <c r="G64" s="11" t="s">
        <v>2332</v>
      </c>
    </row>
    <row r="65" spans="1:7">
      <c r="A65" s="11" t="s">
        <v>577</v>
      </c>
      <c r="B65" s="11" t="s">
        <v>2333</v>
      </c>
      <c r="C65" s="11" t="s">
        <v>2061</v>
      </c>
      <c r="D65" s="11" t="s">
        <v>2160</v>
      </c>
      <c r="E65" s="11" t="s">
        <v>2334</v>
      </c>
      <c r="F65" s="11" t="s">
        <v>2335</v>
      </c>
      <c r="G65" s="11" t="s">
        <v>2336</v>
      </c>
    </row>
    <row r="66" spans="1:7">
      <c r="A66" s="11" t="s">
        <v>1731</v>
      </c>
      <c r="B66" s="11" t="s">
        <v>2337</v>
      </c>
      <c r="C66" s="11" t="s">
        <v>2338</v>
      </c>
      <c r="D66" s="11" t="s">
        <v>812</v>
      </c>
      <c r="E66" s="11" t="s">
        <v>2339</v>
      </c>
      <c r="F66" s="11" t="s">
        <v>2340</v>
      </c>
      <c r="G66" s="11" t="s">
        <v>2341</v>
      </c>
    </row>
    <row r="67" spans="1:7">
      <c r="A67" s="11" t="s">
        <v>2342</v>
      </c>
      <c r="B67" s="11" t="s">
        <v>2343</v>
      </c>
      <c r="C67" s="11" t="s">
        <v>314</v>
      </c>
      <c r="D67" s="11" t="s">
        <v>2344</v>
      </c>
      <c r="E67" s="11" t="s">
        <v>2345</v>
      </c>
      <c r="F67" s="11" t="s">
        <v>2346</v>
      </c>
      <c r="G67" s="11" t="s">
        <v>2347</v>
      </c>
    </row>
    <row r="68" spans="1:7">
      <c r="A68" s="11" t="s">
        <v>2348</v>
      </c>
      <c r="B68" s="11" t="s">
        <v>2349</v>
      </c>
      <c r="C68" s="11" t="s">
        <v>2350</v>
      </c>
      <c r="D68" s="11" t="s">
        <v>2351</v>
      </c>
      <c r="E68" s="11" t="s">
        <v>2352</v>
      </c>
      <c r="F68" s="11" t="s">
        <v>2353</v>
      </c>
      <c r="G68" s="11" t="s">
        <v>2354</v>
      </c>
    </row>
    <row r="69" spans="1:7">
      <c r="A69" s="11" t="s">
        <v>737</v>
      </c>
      <c r="B69" s="11" t="s">
        <v>2355</v>
      </c>
      <c r="C69" s="11" t="s">
        <v>2061</v>
      </c>
      <c r="D69" s="11" t="s">
        <v>2356</v>
      </c>
      <c r="E69" s="11" t="s">
        <v>2357</v>
      </c>
      <c r="F69" s="11" t="s">
        <v>2358</v>
      </c>
      <c r="G69" s="11" t="s">
        <v>2359</v>
      </c>
    </row>
  </sheetData>
  <mergeCells count="2">
    <mergeCell ref="A2:G2"/>
    <mergeCell ref="A1:G1"/>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66" t="s">
        <v>2360</v>
      </c>
      <c r="B1" s="67"/>
      <c r="C1" s="67"/>
      <c r="D1" s="67"/>
      <c r="E1" s="67"/>
      <c r="F1" s="67"/>
      <c r="G1" s="67"/>
      <c r="H1" s="67"/>
    </row>
    <row r="2" spans="1:8" ht="31.95" customHeight="1">
      <c r="A2" s="75" t="s">
        <v>2361</v>
      </c>
      <c r="B2" s="67"/>
      <c r="C2" s="67"/>
      <c r="D2" s="67"/>
      <c r="E2" s="67"/>
      <c r="F2" s="67"/>
      <c r="G2" s="67"/>
      <c r="H2" s="67"/>
    </row>
    <row r="5" spans="1:8" ht="28.05" customHeight="1">
      <c r="A5" s="1" t="s">
        <v>2362</v>
      </c>
      <c r="B5" s="2" t="s">
        <v>26</v>
      </c>
      <c r="C5" s="2" t="s">
        <v>2363</v>
      </c>
      <c r="D5" s="2" t="s">
        <v>2364</v>
      </c>
      <c r="E5" s="2" t="s">
        <v>2365</v>
      </c>
      <c r="F5" s="2" t="s">
        <v>2366</v>
      </c>
      <c r="G5" s="2" t="s">
        <v>2367</v>
      </c>
      <c r="H5" s="3" t="s">
        <v>2368</v>
      </c>
    </row>
    <row r="6" spans="1:8">
      <c r="A6" s="10" t="s">
        <v>2369</v>
      </c>
      <c r="B6" s="10" t="s">
        <v>2370</v>
      </c>
      <c r="C6" s="10" t="s">
        <v>1937</v>
      </c>
      <c r="D6" s="10" t="s">
        <v>2371</v>
      </c>
      <c r="E6" s="10" t="s">
        <v>24</v>
      </c>
      <c r="F6" s="10" t="s">
        <v>2372</v>
      </c>
      <c r="G6" s="10" t="s">
        <v>2373</v>
      </c>
      <c r="H6" s="19"/>
    </row>
    <row r="7" spans="1:8">
      <c r="A7" s="11" t="s">
        <v>2374</v>
      </c>
      <c r="B7" s="11" t="s">
        <v>2370</v>
      </c>
      <c r="C7" s="11" t="s">
        <v>1937</v>
      </c>
      <c r="D7" s="11" t="s">
        <v>2375</v>
      </c>
      <c r="E7" s="11" t="s">
        <v>24</v>
      </c>
      <c r="F7" s="11" t="s">
        <v>2376</v>
      </c>
      <c r="G7" s="11" t="s">
        <v>2373</v>
      </c>
      <c r="H7" s="20"/>
    </row>
    <row r="8" spans="1:8">
      <c r="A8" s="11" t="s">
        <v>2377</v>
      </c>
      <c r="B8" s="11" t="s">
        <v>2378</v>
      </c>
      <c r="C8" s="11" t="s">
        <v>1937</v>
      </c>
      <c r="D8" s="11" t="s">
        <v>2379</v>
      </c>
      <c r="E8" s="11" t="s">
        <v>24</v>
      </c>
      <c r="F8" s="11" t="s">
        <v>2380</v>
      </c>
      <c r="G8" s="11" t="s">
        <v>2381</v>
      </c>
      <c r="H8" s="20"/>
    </row>
    <row r="9" spans="1:8">
      <c r="A9" s="11" t="s">
        <v>2382</v>
      </c>
      <c r="B9" s="11" t="s">
        <v>2383</v>
      </c>
      <c r="C9" s="11" t="s">
        <v>1937</v>
      </c>
      <c r="D9" s="11" t="s">
        <v>2384</v>
      </c>
      <c r="E9" s="11" t="s">
        <v>24</v>
      </c>
      <c r="F9" s="11" t="s">
        <v>2385</v>
      </c>
      <c r="G9" s="11" t="s">
        <v>2386</v>
      </c>
      <c r="H9" s="20"/>
    </row>
    <row r="10" spans="1:8">
      <c r="A10" s="11" t="s">
        <v>2387</v>
      </c>
      <c r="B10" s="11" t="s">
        <v>2370</v>
      </c>
      <c r="C10" s="11" t="s">
        <v>1937</v>
      </c>
      <c r="D10" s="11" t="s">
        <v>2388</v>
      </c>
      <c r="E10" s="11" t="s">
        <v>347</v>
      </c>
      <c r="F10" s="11" t="s">
        <v>2389</v>
      </c>
      <c r="G10" s="11" t="s">
        <v>2390</v>
      </c>
      <c r="H10" s="20"/>
    </row>
    <row r="11" spans="1:8">
      <c r="A11" s="11" t="s">
        <v>2391</v>
      </c>
      <c r="B11" s="11" t="s">
        <v>2370</v>
      </c>
      <c r="C11" s="11" t="s">
        <v>1937</v>
      </c>
      <c r="D11" s="11" t="s">
        <v>2392</v>
      </c>
      <c r="E11" s="11" t="s">
        <v>347</v>
      </c>
      <c r="F11" s="11" t="s">
        <v>2393</v>
      </c>
      <c r="G11" s="11" t="s">
        <v>2394</v>
      </c>
      <c r="H11" s="20"/>
    </row>
    <row r="12" spans="1:8">
      <c r="A12" s="11" t="s">
        <v>2395</v>
      </c>
      <c r="B12" s="11" t="s">
        <v>2370</v>
      </c>
      <c r="C12" s="11" t="s">
        <v>1937</v>
      </c>
      <c r="D12" s="11" t="s">
        <v>2396</v>
      </c>
      <c r="E12" s="11" t="s">
        <v>195</v>
      </c>
      <c r="F12" s="11" t="s">
        <v>2397</v>
      </c>
      <c r="G12" s="11" t="s">
        <v>253</v>
      </c>
      <c r="H12" s="20"/>
    </row>
    <row r="13" spans="1:8">
      <c r="A13" s="11" t="s">
        <v>1090</v>
      </c>
      <c r="B13" s="11" t="s">
        <v>2370</v>
      </c>
      <c r="C13" s="11" t="s">
        <v>1937</v>
      </c>
      <c r="D13" s="11" t="s">
        <v>2398</v>
      </c>
      <c r="E13" s="11" t="s">
        <v>195</v>
      </c>
      <c r="F13" s="11" t="s">
        <v>2399</v>
      </c>
      <c r="G13" s="11" t="s">
        <v>2400</v>
      </c>
      <c r="H13" s="20"/>
    </row>
    <row r="14" spans="1:8">
      <c r="A14" s="11" t="s">
        <v>2401</v>
      </c>
      <c r="B14" s="11" t="s">
        <v>2370</v>
      </c>
      <c r="C14" s="11" t="s">
        <v>1937</v>
      </c>
      <c r="D14" s="11" t="s">
        <v>2402</v>
      </c>
      <c r="E14" s="11" t="s">
        <v>195</v>
      </c>
      <c r="F14" s="11" t="s">
        <v>2403</v>
      </c>
      <c r="G14" s="11" t="s">
        <v>2404</v>
      </c>
      <c r="H14" s="20"/>
    </row>
    <row r="15" spans="1:8">
      <c r="A15" s="11" t="s">
        <v>2405</v>
      </c>
      <c r="B15" s="11" t="s">
        <v>2406</v>
      </c>
      <c r="C15" s="11" t="s">
        <v>1937</v>
      </c>
      <c r="D15" s="11" t="s">
        <v>2407</v>
      </c>
      <c r="E15" s="11" t="s">
        <v>195</v>
      </c>
      <c r="F15" s="11" t="s">
        <v>2408</v>
      </c>
      <c r="G15" s="11" t="s">
        <v>2409</v>
      </c>
      <c r="H15" s="20"/>
    </row>
    <row r="16" spans="1:8">
      <c r="A16" s="11" t="s">
        <v>2410</v>
      </c>
      <c r="B16" s="11" t="s">
        <v>2411</v>
      </c>
      <c r="C16" s="11" t="s">
        <v>1898</v>
      </c>
      <c r="D16" s="11"/>
      <c r="E16" s="11" t="s">
        <v>1551</v>
      </c>
      <c r="F16" s="11" t="s">
        <v>2412</v>
      </c>
      <c r="G16" s="11" t="s">
        <v>2409</v>
      </c>
      <c r="H16" s="20"/>
    </row>
    <row r="17" spans="1:8">
      <c r="A17" s="11" t="s">
        <v>2413</v>
      </c>
      <c r="B17" s="11" t="s">
        <v>2370</v>
      </c>
      <c r="C17" s="11" t="s">
        <v>1937</v>
      </c>
      <c r="D17" s="11"/>
      <c r="E17" s="11" t="s">
        <v>645</v>
      </c>
      <c r="F17" s="11" t="s">
        <v>2414</v>
      </c>
      <c r="G17" s="11" t="s">
        <v>2415</v>
      </c>
      <c r="H17" s="20"/>
    </row>
    <row r="18" spans="1:8">
      <c r="A18" s="11" t="s">
        <v>2416</v>
      </c>
      <c r="B18" s="11" t="s">
        <v>2370</v>
      </c>
      <c r="C18" s="11" t="s">
        <v>1937</v>
      </c>
      <c r="D18" s="11" t="s">
        <v>2417</v>
      </c>
      <c r="E18" s="11" t="s">
        <v>347</v>
      </c>
      <c r="F18" s="11" t="s">
        <v>2418</v>
      </c>
      <c r="G18" s="11" t="s">
        <v>2415</v>
      </c>
      <c r="H18" s="20"/>
    </row>
    <row r="19" spans="1:8">
      <c r="A19" s="11" t="s">
        <v>2419</v>
      </c>
      <c r="B19" s="11" t="s">
        <v>2370</v>
      </c>
      <c r="C19" s="11" t="s">
        <v>1937</v>
      </c>
      <c r="D19" s="11" t="s">
        <v>2420</v>
      </c>
      <c r="E19" s="11" t="s">
        <v>645</v>
      </c>
      <c r="F19" s="11" t="s">
        <v>2421</v>
      </c>
      <c r="G19" s="11" t="s">
        <v>253</v>
      </c>
      <c r="H19" s="20"/>
    </row>
    <row r="20" spans="1:8">
      <c r="A20" s="11" t="s">
        <v>2422</v>
      </c>
      <c r="B20" s="11" t="s">
        <v>2370</v>
      </c>
      <c r="C20" s="11" t="s">
        <v>1937</v>
      </c>
      <c r="D20" s="11" t="s">
        <v>2423</v>
      </c>
      <c r="E20" s="11" t="s">
        <v>645</v>
      </c>
      <c r="F20" s="11" t="s">
        <v>2424</v>
      </c>
      <c r="G20" s="11" t="s">
        <v>2370</v>
      </c>
      <c r="H20" s="20"/>
    </row>
    <row r="21" spans="1:8">
      <c r="A21" s="11" t="s">
        <v>2425</v>
      </c>
      <c r="B21" s="11" t="s">
        <v>2370</v>
      </c>
      <c r="C21" s="11" t="s">
        <v>1937</v>
      </c>
      <c r="D21" s="11" t="s">
        <v>2426</v>
      </c>
      <c r="E21" s="11" t="s">
        <v>347</v>
      </c>
      <c r="F21" s="11" t="s">
        <v>2427</v>
      </c>
      <c r="G21" s="11" t="s">
        <v>2404</v>
      </c>
      <c r="H21" s="20"/>
    </row>
    <row r="22" spans="1:8">
      <c r="A22" s="11" t="s">
        <v>2428</v>
      </c>
      <c r="B22" s="11" t="s">
        <v>2370</v>
      </c>
      <c r="C22" s="11" t="s">
        <v>1937</v>
      </c>
      <c r="D22" s="11" t="s">
        <v>2429</v>
      </c>
      <c r="E22" s="11" t="s">
        <v>347</v>
      </c>
      <c r="F22" s="11" t="s">
        <v>2430</v>
      </c>
      <c r="G22" s="11" t="s">
        <v>2390</v>
      </c>
      <c r="H22" s="20"/>
    </row>
    <row r="23" spans="1:8">
      <c r="A23" s="11" t="s">
        <v>2431</v>
      </c>
      <c r="B23" s="11" t="s">
        <v>2370</v>
      </c>
      <c r="C23" s="11" t="s">
        <v>1937</v>
      </c>
      <c r="D23" s="11" t="s">
        <v>2432</v>
      </c>
      <c r="E23" s="11" t="s">
        <v>347</v>
      </c>
      <c r="F23" s="11" t="s">
        <v>2433</v>
      </c>
      <c r="G23" s="11" t="s">
        <v>2390</v>
      </c>
      <c r="H23" s="20"/>
    </row>
    <row r="24" spans="1:8">
      <c r="A24" s="11" t="s">
        <v>2434</v>
      </c>
      <c r="B24" s="11" t="s">
        <v>2370</v>
      </c>
      <c r="C24" s="11" t="s">
        <v>1937</v>
      </c>
      <c r="D24" s="11" t="s">
        <v>2435</v>
      </c>
      <c r="E24" s="11" t="s">
        <v>499</v>
      </c>
      <c r="F24" s="11" t="s">
        <v>2436</v>
      </c>
      <c r="G24" s="11" t="s">
        <v>2088</v>
      </c>
      <c r="H24" s="20"/>
    </row>
    <row r="25" spans="1:8">
      <c r="A25" s="11" t="s">
        <v>2437</v>
      </c>
      <c r="B25" s="11" t="s">
        <v>2370</v>
      </c>
      <c r="C25" s="11" t="s">
        <v>1937</v>
      </c>
      <c r="D25" s="11" t="s">
        <v>2438</v>
      </c>
      <c r="E25" s="11" t="s">
        <v>499</v>
      </c>
      <c r="F25" s="11" t="s">
        <v>2439</v>
      </c>
      <c r="G25" s="11" t="s">
        <v>2440</v>
      </c>
      <c r="H25" s="20"/>
    </row>
    <row r="26" spans="1:8">
      <c r="A26" s="11" t="s">
        <v>2441</v>
      </c>
      <c r="B26" s="11" t="s">
        <v>2370</v>
      </c>
      <c r="C26" s="11" t="s">
        <v>1937</v>
      </c>
      <c r="D26" s="11" t="s">
        <v>2442</v>
      </c>
      <c r="E26" s="11" t="s">
        <v>499</v>
      </c>
      <c r="F26" s="11" t="s">
        <v>2443</v>
      </c>
      <c r="G26" s="11" t="s">
        <v>2088</v>
      </c>
      <c r="H26" s="20"/>
    </row>
    <row r="27" spans="1:8">
      <c r="A27" s="11" t="s">
        <v>2444</v>
      </c>
      <c r="B27" s="11" t="s">
        <v>2370</v>
      </c>
      <c r="C27" s="11" t="s">
        <v>1937</v>
      </c>
      <c r="D27" s="11" t="s">
        <v>2445</v>
      </c>
      <c r="E27" s="11" t="s">
        <v>499</v>
      </c>
      <c r="F27" s="11" t="s">
        <v>2446</v>
      </c>
      <c r="G27" s="11" t="s">
        <v>2088</v>
      </c>
      <c r="H27" s="20"/>
    </row>
    <row r="28" spans="1:8">
      <c r="A28" s="11" t="s">
        <v>2447</v>
      </c>
      <c r="B28" s="11" t="s">
        <v>2370</v>
      </c>
      <c r="C28" s="11" t="s">
        <v>1937</v>
      </c>
      <c r="D28" s="11" t="s">
        <v>2448</v>
      </c>
      <c r="E28" s="11" t="s">
        <v>347</v>
      </c>
      <c r="F28" s="11" t="s">
        <v>2449</v>
      </c>
      <c r="G28" s="11" t="s">
        <v>442</v>
      </c>
      <c r="H28" s="20"/>
    </row>
    <row r="29" spans="1:8">
      <c r="A29" s="11" t="s">
        <v>2450</v>
      </c>
      <c r="B29" s="11" t="s">
        <v>2370</v>
      </c>
      <c r="C29" s="11" t="s">
        <v>1937</v>
      </c>
      <c r="D29" s="11" t="s">
        <v>2451</v>
      </c>
      <c r="E29" s="11" t="s">
        <v>499</v>
      </c>
      <c r="F29" s="11" t="s">
        <v>2452</v>
      </c>
      <c r="G29" s="11" t="s">
        <v>442</v>
      </c>
      <c r="H29" s="20"/>
    </row>
    <row r="30" spans="1:8">
      <c r="A30" s="11" t="s">
        <v>2453</v>
      </c>
      <c r="B30" s="11" t="s">
        <v>2370</v>
      </c>
      <c r="C30" s="11" t="s">
        <v>1937</v>
      </c>
      <c r="D30" s="11" t="s">
        <v>2454</v>
      </c>
      <c r="E30" s="11" t="s">
        <v>1551</v>
      </c>
      <c r="F30" s="11" t="s">
        <v>2455</v>
      </c>
      <c r="G30" s="11" t="s">
        <v>2456</v>
      </c>
      <c r="H30" s="20"/>
    </row>
    <row r="31" spans="1:8">
      <c r="A31" s="11" t="s">
        <v>2457</v>
      </c>
      <c r="B31" s="11" t="s">
        <v>2411</v>
      </c>
      <c r="C31" s="11" t="s">
        <v>1898</v>
      </c>
      <c r="D31" s="11"/>
      <c r="E31" s="11" t="s">
        <v>1551</v>
      </c>
      <c r="F31" s="11" t="s">
        <v>2458</v>
      </c>
      <c r="G31" s="11" t="s">
        <v>2456</v>
      </c>
      <c r="H31" s="20"/>
    </row>
    <row r="32" spans="1:8">
      <c r="A32" s="11" t="s">
        <v>2459</v>
      </c>
      <c r="B32" s="11" t="s">
        <v>2411</v>
      </c>
      <c r="C32" s="11" t="s">
        <v>1898</v>
      </c>
      <c r="D32" s="11"/>
      <c r="E32" s="11" t="s">
        <v>2102</v>
      </c>
      <c r="F32" s="11" t="s">
        <v>2460</v>
      </c>
      <c r="G32" s="11" t="s">
        <v>2461</v>
      </c>
      <c r="H32" s="20"/>
    </row>
    <row r="33" spans="1:8">
      <c r="A33" s="11" t="s">
        <v>2462</v>
      </c>
      <c r="B33" s="11" t="s">
        <v>2370</v>
      </c>
      <c r="C33" s="11" t="s">
        <v>1937</v>
      </c>
      <c r="D33" s="11" t="s">
        <v>2463</v>
      </c>
      <c r="E33" s="11" t="s">
        <v>2102</v>
      </c>
      <c r="F33" s="11" t="s">
        <v>2464</v>
      </c>
      <c r="G33" s="11" t="s">
        <v>2461</v>
      </c>
      <c r="H33" s="20"/>
    </row>
    <row r="34" spans="1:8">
      <c r="A34" s="11" t="s">
        <v>2465</v>
      </c>
      <c r="B34" s="11" t="s">
        <v>2466</v>
      </c>
      <c r="C34" s="11" t="s">
        <v>1937</v>
      </c>
      <c r="D34" s="11" t="s">
        <v>2467</v>
      </c>
      <c r="E34" s="11" t="s">
        <v>645</v>
      </c>
      <c r="F34" s="11" t="s">
        <v>2468</v>
      </c>
      <c r="G34" s="11" t="s">
        <v>2469</v>
      </c>
      <c r="H34" s="20"/>
    </row>
    <row r="35" spans="1:8">
      <c r="A35" s="11" t="s">
        <v>2470</v>
      </c>
      <c r="B35" s="11" t="s">
        <v>2466</v>
      </c>
      <c r="C35" s="11" t="s">
        <v>1937</v>
      </c>
      <c r="D35" s="11" t="s">
        <v>2471</v>
      </c>
      <c r="E35" s="11" t="s">
        <v>645</v>
      </c>
      <c r="F35" s="11" t="s">
        <v>2472</v>
      </c>
      <c r="G35" s="11" t="s">
        <v>2473</v>
      </c>
      <c r="H35" s="20"/>
    </row>
    <row r="36" spans="1:8">
      <c r="A36" s="11" t="s">
        <v>2474</v>
      </c>
      <c r="B36" s="11" t="s">
        <v>2475</v>
      </c>
      <c r="C36" s="11" t="s">
        <v>1937</v>
      </c>
      <c r="D36" s="11" t="s">
        <v>2476</v>
      </c>
      <c r="E36" s="11" t="s">
        <v>24</v>
      </c>
      <c r="F36" s="11" t="s">
        <v>2477</v>
      </c>
      <c r="G36" s="11" t="s">
        <v>2478</v>
      </c>
      <c r="H36" s="20"/>
    </row>
    <row r="37" spans="1:8">
      <c r="A37" s="11" t="s">
        <v>2479</v>
      </c>
      <c r="B37" s="11" t="s">
        <v>2475</v>
      </c>
      <c r="C37" s="11" t="s">
        <v>1937</v>
      </c>
      <c r="D37" s="11" t="s">
        <v>2480</v>
      </c>
      <c r="E37" s="11" t="s">
        <v>24</v>
      </c>
      <c r="F37" s="11" t="s">
        <v>2481</v>
      </c>
      <c r="G37" s="11" t="s">
        <v>2478</v>
      </c>
      <c r="H37" s="20"/>
    </row>
    <row r="38" spans="1:8">
      <c r="A38" s="11" t="s">
        <v>2482</v>
      </c>
      <c r="B38" s="11" t="s">
        <v>2475</v>
      </c>
      <c r="C38" s="11" t="s">
        <v>1937</v>
      </c>
      <c r="D38" s="11" t="s">
        <v>2483</v>
      </c>
      <c r="E38" s="11" t="s">
        <v>24</v>
      </c>
      <c r="F38" s="11" t="s">
        <v>2484</v>
      </c>
      <c r="G38" s="11" t="s">
        <v>2478</v>
      </c>
      <c r="H38" s="20"/>
    </row>
  </sheetData>
  <mergeCells count="2">
    <mergeCell ref="A2:H2"/>
    <mergeCell ref="A1:H1"/>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66" t="s">
        <v>2485</v>
      </c>
      <c r="B1" s="67"/>
      <c r="C1" s="67"/>
      <c r="D1" s="67"/>
      <c r="E1" s="67"/>
      <c r="F1" s="67"/>
    </row>
    <row r="2" spans="1:6" ht="31.95" customHeight="1">
      <c r="A2" s="75" t="s">
        <v>2486</v>
      </c>
      <c r="B2" s="67"/>
      <c r="C2" s="67"/>
      <c r="D2" s="67"/>
      <c r="E2" s="67"/>
      <c r="F2" s="67"/>
    </row>
    <row r="5" spans="1:6" ht="28.05" customHeight="1">
      <c r="A5" s="1" t="s">
        <v>2487</v>
      </c>
      <c r="B5" s="2" t="s">
        <v>2488</v>
      </c>
      <c r="C5" s="2" t="s">
        <v>2489</v>
      </c>
      <c r="D5" s="2" t="s">
        <v>2490</v>
      </c>
      <c r="E5" s="2" t="s">
        <v>2491</v>
      </c>
      <c r="F5" s="3" t="s">
        <v>2492</v>
      </c>
    </row>
    <row r="6" spans="1:6" ht="22.8" customHeight="1">
      <c r="A6" s="10" t="s">
        <v>2493</v>
      </c>
      <c r="B6" s="10" t="s">
        <v>2494</v>
      </c>
      <c r="C6" s="10" t="s">
        <v>2495</v>
      </c>
      <c r="D6" s="10" t="s">
        <v>2496</v>
      </c>
      <c r="E6" s="10" t="s">
        <v>2497</v>
      </c>
      <c r="F6" s="10" t="s">
        <v>2498</v>
      </c>
    </row>
    <row r="7" spans="1:6" ht="22.8" customHeight="1">
      <c r="A7" s="11" t="s">
        <v>2499</v>
      </c>
      <c r="B7" s="11" t="s">
        <v>2500</v>
      </c>
      <c r="C7" s="11" t="s">
        <v>2501</v>
      </c>
      <c r="D7" s="11" t="s">
        <v>2502</v>
      </c>
      <c r="E7" s="11" t="s">
        <v>2503</v>
      </c>
      <c r="F7" s="11" t="s">
        <v>2498</v>
      </c>
    </row>
    <row r="8" spans="1:6" ht="45.6" customHeight="1">
      <c r="A8" s="11" t="s">
        <v>2504</v>
      </c>
      <c r="B8" s="11" t="s">
        <v>2505</v>
      </c>
      <c r="C8" s="11" t="s">
        <v>2506</v>
      </c>
      <c r="D8" s="11" t="s">
        <v>2507</v>
      </c>
      <c r="E8" s="11" t="s">
        <v>2508</v>
      </c>
      <c r="F8" s="11" t="s">
        <v>2509</v>
      </c>
    </row>
    <row r="11" spans="1:6" ht="46.05" customHeight="1">
      <c r="A11" s="60" t="s">
        <v>2510</v>
      </c>
      <c r="B11" s="72"/>
      <c r="C11" s="72"/>
      <c r="D11" s="72"/>
      <c r="E11" s="72"/>
      <c r="F11" s="73"/>
    </row>
  </sheetData>
  <mergeCells count="3">
    <mergeCell ref="A2:F2"/>
    <mergeCell ref="A11:F11"/>
    <mergeCell ref="A1:F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90" t="s">
        <v>2511</v>
      </c>
      <c r="B1" s="67"/>
      <c r="C1" s="67"/>
      <c r="D1" s="67"/>
      <c r="E1" s="67"/>
      <c r="F1" s="67"/>
      <c r="G1" s="67"/>
      <c r="H1" s="67"/>
    </row>
    <row r="2" spans="1:8" ht="36" customHeight="1">
      <c r="A2" s="89" t="s">
        <v>2512</v>
      </c>
      <c r="B2" s="67"/>
      <c r="C2" s="67"/>
      <c r="D2" s="67"/>
      <c r="E2" s="67"/>
      <c r="F2" s="67"/>
      <c r="G2" s="67"/>
      <c r="H2" s="67"/>
    </row>
    <row r="3" spans="1:8" ht="15" customHeight="1">
      <c r="A3" s="29"/>
      <c r="B3" s="29"/>
      <c r="C3" s="29"/>
      <c r="D3" s="29"/>
      <c r="E3" s="29"/>
      <c r="F3" s="29"/>
      <c r="G3" s="29"/>
      <c r="H3" s="29"/>
    </row>
    <row r="4" spans="1:8" ht="15" customHeight="1">
      <c r="A4" s="88" t="s">
        <v>972</v>
      </c>
      <c r="B4" s="67"/>
      <c r="C4" s="67"/>
      <c r="D4" s="67"/>
      <c r="E4" s="67"/>
      <c r="F4" s="67"/>
      <c r="G4" s="67"/>
      <c r="H4" s="67"/>
    </row>
    <row r="5" spans="1:8" ht="118.8" customHeight="1">
      <c r="A5" s="36" t="s">
        <v>2513</v>
      </c>
      <c r="B5" s="37" t="s">
        <v>2514</v>
      </c>
      <c r="C5" s="37" t="s">
        <v>2515</v>
      </c>
      <c r="D5" s="37" t="s">
        <v>2516</v>
      </c>
      <c r="E5" s="37" t="s">
        <v>2517</v>
      </c>
      <c r="F5" s="37" t="s">
        <v>2518</v>
      </c>
      <c r="G5" s="37" t="s">
        <v>2519</v>
      </c>
      <c r="H5" s="38" t="s">
        <v>2520</v>
      </c>
    </row>
    <row r="6" spans="1:8" ht="105.6" customHeight="1">
      <c r="A6" s="39" t="s">
        <v>2521</v>
      </c>
      <c r="B6" s="40" t="s">
        <v>2522</v>
      </c>
      <c r="C6" s="40" t="s">
        <v>2523</v>
      </c>
      <c r="D6" s="40" t="s">
        <v>2524</v>
      </c>
      <c r="E6" s="40" t="s">
        <v>2525</v>
      </c>
      <c r="F6" s="40" t="s">
        <v>2526</v>
      </c>
      <c r="G6" s="40" t="s">
        <v>2527</v>
      </c>
      <c r="H6" s="41" t="s">
        <v>2528</v>
      </c>
    </row>
    <row r="7" spans="1:8" ht="132" customHeight="1">
      <c r="A7" s="39" t="s">
        <v>2442</v>
      </c>
      <c r="B7" s="40" t="s">
        <v>2529</v>
      </c>
      <c r="C7" s="40" t="s">
        <v>991</v>
      </c>
      <c r="D7" s="40" t="s">
        <v>2530</v>
      </c>
      <c r="E7" s="40" t="s">
        <v>1344</v>
      </c>
      <c r="F7" s="40" t="s">
        <v>2531</v>
      </c>
      <c r="G7" s="40" t="s">
        <v>2532</v>
      </c>
      <c r="H7" s="41" t="s">
        <v>2533</v>
      </c>
    </row>
    <row r="8" spans="1:8" ht="118.8" customHeight="1">
      <c r="A8" s="39" t="s">
        <v>2534</v>
      </c>
      <c r="B8" s="40" t="s">
        <v>2535</v>
      </c>
      <c r="C8" s="40" t="s">
        <v>2536</v>
      </c>
      <c r="D8" s="40" t="s">
        <v>2537</v>
      </c>
      <c r="E8" s="40" t="s">
        <v>2538</v>
      </c>
      <c r="F8" s="40" t="s">
        <v>2539</v>
      </c>
      <c r="G8" s="40" t="s">
        <v>2540</v>
      </c>
      <c r="H8" s="41" t="s">
        <v>2541</v>
      </c>
    </row>
    <row r="9" spans="1:8" ht="118.8" customHeight="1">
      <c r="A9" s="39" t="s">
        <v>2426</v>
      </c>
      <c r="B9" s="40" t="s">
        <v>2542</v>
      </c>
      <c r="C9" s="40" t="s">
        <v>2543</v>
      </c>
      <c r="D9" s="40" t="s">
        <v>2544</v>
      </c>
      <c r="E9" s="40" t="s">
        <v>2545</v>
      </c>
      <c r="F9" s="40" t="s">
        <v>2546</v>
      </c>
      <c r="G9" s="40" t="s">
        <v>2547</v>
      </c>
      <c r="H9" s="41" t="s">
        <v>2548</v>
      </c>
    </row>
    <row r="10" spans="1:8" ht="132" customHeight="1">
      <c r="A10" s="42" t="s">
        <v>2435</v>
      </c>
      <c r="B10" s="43" t="s">
        <v>2549</v>
      </c>
      <c r="C10" s="43" t="s">
        <v>2550</v>
      </c>
      <c r="D10" s="43" t="s">
        <v>2551</v>
      </c>
      <c r="E10" s="43" t="s">
        <v>185</v>
      </c>
      <c r="F10" s="43" t="s">
        <v>2552</v>
      </c>
      <c r="G10" s="43" t="s">
        <v>2553</v>
      </c>
      <c r="H10" s="44" t="s">
        <v>2554</v>
      </c>
    </row>
    <row r="11" spans="1:8" ht="15" customHeight="1">
      <c r="A11" s="29"/>
      <c r="B11" s="29"/>
      <c r="C11" s="29"/>
      <c r="D11" s="29"/>
      <c r="E11" s="29"/>
      <c r="F11" s="29"/>
      <c r="G11" s="29"/>
      <c r="H11" s="29"/>
    </row>
    <row r="12" spans="1:8" ht="39.6" customHeight="1">
      <c r="A12" s="29" t="s">
        <v>3</v>
      </c>
      <c r="B12" s="29" t="s">
        <v>2555</v>
      </c>
      <c r="C12" s="29" t="s">
        <v>2556</v>
      </c>
      <c r="D12" s="29" t="s">
        <v>2557</v>
      </c>
      <c r="E12" s="29" t="s">
        <v>2558</v>
      </c>
      <c r="F12" s="29" t="s">
        <v>2559</v>
      </c>
      <c r="G12" s="29" t="s">
        <v>2560</v>
      </c>
      <c r="H12" s="29" t="s">
        <v>2561</v>
      </c>
    </row>
    <row r="13" spans="1:8" ht="145.19999999999999" customHeight="1">
      <c r="A13" s="29" t="s">
        <v>24</v>
      </c>
      <c r="B13" s="29" t="s">
        <v>2562</v>
      </c>
      <c r="C13" s="29" t="s">
        <v>2563</v>
      </c>
      <c r="D13" s="29" t="s">
        <v>2564</v>
      </c>
      <c r="E13" s="29" t="s">
        <v>2565</v>
      </c>
      <c r="F13" s="29" t="s">
        <v>2566</v>
      </c>
      <c r="G13" s="29" t="s">
        <v>181</v>
      </c>
      <c r="H13" s="29" t="str">
        <f>IF(COUNTIFS('02 Master Plan'!$B$6:$B$120,A13,'02 Master Plan'!$D$6:$D$120,"MUST",'02 Master Plan'!$S$6:$S$120,"&lt;&gt;Done")=0,"Ready to teach","In progress")</f>
        <v>Ready to teach</v>
      </c>
    </row>
    <row r="14" spans="1:8" ht="145.19999999999999" customHeight="1">
      <c r="A14" s="29" t="s">
        <v>195</v>
      </c>
      <c r="B14" s="29" t="s">
        <v>2567</v>
      </c>
      <c r="C14" s="29" t="s">
        <v>2568</v>
      </c>
      <c r="D14" s="29" t="s">
        <v>2569</v>
      </c>
      <c r="E14" s="29" t="s">
        <v>2570</v>
      </c>
      <c r="F14" s="29" t="s">
        <v>2571</v>
      </c>
      <c r="G14" s="29" t="s">
        <v>338</v>
      </c>
      <c r="H14" s="29" t="str">
        <f>IF(COUNTIFS('02 Master Plan'!$B$6:$B$120,A14,'02 Master Plan'!$D$6:$D$120,"MUST",'02 Master Plan'!$S$6:$S$120,"&lt;&gt;Done")=0,"Ready to teach","In progress")</f>
        <v>Ready to teach</v>
      </c>
    </row>
    <row r="15" spans="1:8" ht="118.8" customHeight="1">
      <c r="A15" s="29" t="s">
        <v>347</v>
      </c>
      <c r="B15" s="29" t="s">
        <v>2572</v>
      </c>
      <c r="C15" s="29" t="s">
        <v>2573</v>
      </c>
      <c r="D15" s="29" t="s">
        <v>2574</v>
      </c>
      <c r="E15" s="29" t="s">
        <v>2575</v>
      </c>
      <c r="F15" s="29" t="s">
        <v>2576</v>
      </c>
      <c r="G15" s="29" t="s">
        <v>489</v>
      </c>
      <c r="H15" s="29" t="str">
        <f>IF(COUNTIFS('02 Master Plan'!$B$6:$B$120,A15,'02 Master Plan'!$D$6:$D$120,"MUST",'02 Master Plan'!$S$6:$S$120,"&lt;&gt;Done")=0,"Ready to teach","In progress")</f>
        <v>Ready to teach</v>
      </c>
    </row>
    <row r="16" spans="1:8" ht="118.8" customHeight="1">
      <c r="A16" s="29" t="s">
        <v>499</v>
      </c>
      <c r="B16" s="29" t="s">
        <v>2577</v>
      </c>
      <c r="C16" s="29" t="s">
        <v>2578</v>
      </c>
      <c r="D16" s="29" t="s">
        <v>2579</v>
      </c>
      <c r="E16" s="29" t="s">
        <v>2580</v>
      </c>
      <c r="F16" s="29" t="s">
        <v>2581</v>
      </c>
      <c r="G16" s="29" t="s">
        <v>635</v>
      </c>
      <c r="H16" s="29" t="str">
        <f>IF(COUNTIFS('02 Master Plan'!$B$6:$B$120,A16,'02 Master Plan'!$D$6:$D$120,"MUST",'02 Master Plan'!$S$6:$S$120,"&lt;&gt;Done")=0,"Ready to teach","In progress")</f>
        <v>Ready to teach</v>
      </c>
    </row>
    <row r="17" spans="1:8" ht="118.8" customHeight="1">
      <c r="A17" s="29" t="s">
        <v>645</v>
      </c>
      <c r="B17" s="29" t="s">
        <v>2582</v>
      </c>
      <c r="C17" s="29" t="s">
        <v>2583</v>
      </c>
      <c r="D17" s="29" t="s">
        <v>2584</v>
      </c>
      <c r="E17" s="29" t="s">
        <v>2585</v>
      </c>
      <c r="F17" s="29" t="s">
        <v>2586</v>
      </c>
      <c r="G17" s="29" t="s">
        <v>802</v>
      </c>
      <c r="H17" s="29" t="str">
        <f>IF(COUNTIFS('02 Master Plan'!$B$6:$B$120,A17,'02 Master Plan'!$D$6:$D$120,"MUST",'02 Master Plan'!$S$6:$S$120,"&lt;&gt;Done")=0,"Ready to teach","In progress")</f>
        <v>Ready to teach</v>
      </c>
    </row>
    <row r="18" spans="1:8" ht="132" customHeight="1">
      <c r="A18" s="29" t="s">
        <v>812</v>
      </c>
      <c r="B18" s="29" t="s">
        <v>2587</v>
      </c>
      <c r="C18" s="29" t="s">
        <v>2588</v>
      </c>
      <c r="D18" s="29" t="s">
        <v>2589</v>
      </c>
      <c r="E18" s="29" t="s">
        <v>2590</v>
      </c>
      <c r="F18" s="29" t="s">
        <v>2591</v>
      </c>
      <c r="G18" s="29" t="s">
        <v>960</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88" t="s">
        <v>2592</v>
      </c>
      <c r="B20" s="67"/>
      <c r="C20" s="67"/>
      <c r="D20" s="67"/>
      <c r="E20" s="67"/>
      <c r="F20" s="67"/>
      <c r="G20" s="67"/>
      <c r="H20" s="67"/>
    </row>
    <row r="21" spans="1:8" ht="118.8" customHeight="1">
      <c r="A21" s="45" t="s">
        <v>2593</v>
      </c>
      <c r="B21" s="46" t="s">
        <v>2594</v>
      </c>
      <c r="C21" s="29"/>
      <c r="D21" s="29"/>
      <c r="E21" s="29"/>
      <c r="F21" s="29"/>
      <c r="G21" s="29"/>
      <c r="H21" s="29"/>
    </row>
    <row r="22" spans="1:8" ht="132" customHeight="1">
      <c r="A22" s="47" t="s">
        <v>2595</v>
      </c>
      <c r="B22" s="48" t="s">
        <v>2596</v>
      </c>
      <c r="C22" s="29"/>
      <c r="D22" s="29"/>
      <c r="E22" s="29"/>
      <c r="F22" s="29"/>
      <c r="G22" s="29"/>
      <c r="H22" s="29"/>
    </row>
    <row r="23" spans="1:8" ht="132" customHeight="1">
      <c r="A23" s="47" t="s">
        <v>2597</v>
      </c>
      <c r="B23" s="48" t="s">
        <v>2598</v>
      </c>
      <c r="C23" s="29"/>
      <c r="D23" s="29"/>
      <c r="E23" s="29"/>
      <c r="F23" s="29"/>
      <c r="G23" s="29"/>
      <c r="H23" s="29"/>
    </row>
    <row r="24" spans="1:8" ht="132" customHeight="1">
      <c r="A24" s="47" t="s">
        <v>1943</v>
      </c>
      <c r="B24" s="48" t="s">
        <v>2599</v>
      </c>
      <c r="C24" s="29"/>
      <c r="D24" s="29"/>
      <c r="E24" s="29"/>
      <c r="F24" s="29"/>
      <c r="G24" s="29"/>
      <c r="H24" s="29"/>
    </row>
    <row r="25" spans="1:8" ht="132" customHeight="1">
      <c r="A25" s="47" t="s">
        <v>2600</v>
      </c>
      <c r="B25" s="48" t="s">
        <v>2601</v>
      </c>
      <c r="C25" s="29"/>
      <c r="D25" s="29"/>
      <c r="E25" s="29"/>
      <c r="F25" s="29"/>
      <c r="G25" s="29"/>
      <c r="H25" s="29"/>
    </row>
    <row r="26" spans="1:8" ht="132" customHeight="1">
      <c r="A26" s="49" t="s">
        <v>2602</v>
      </c>
      <c r="B26" s="50" t="s">
        <v>2603</v>
      </c>
      <c r="C26" s="29"/>
      <c r="D26" s="29"/>
      <c r="E26" s="29"/>
      <c r="F26" s="29"/>
      <c r="G26" s="29"/>
      <c r="H26" s="29"/>
    </row>
  </sheetData>
  <mergeCells count="4">
    <mergeCell ref="A4:H4"/>
    <mergeCell ref="A20:H20"/>
    <mergeCell ref="A2:H2"/>
    <mergeCell ref="A1:H1"/>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 P Rai</cp:lastModifiedBy>
  <dcterms:created xsi:type="dcterms:W3CDTF">2026-09-16T08:48:29Z</dcterms:created>
  <dcterms:modified xsi:type="dcterms:W3CDTF">2026-10-10T06:07:03Z</dcterms:modified>
</cp:coreProperties>
</file>