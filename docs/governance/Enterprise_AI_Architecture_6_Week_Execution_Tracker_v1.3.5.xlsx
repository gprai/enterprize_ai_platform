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D9E97B56-8046-49AB-8082-EB35DDBADFD4}" xr6:coauthVersionLast="47" xr6:coauthVersionMax="47" xr10:uidLastSave="{00000000-0000-0000-0000-000000000000}"/>
  <bookViews>
    <workbookView xWindow="-108" yWindow="-108" windowWidth="23256" windowHeight="13896" tabRatio="844" firstSheet="1" activeTab="1"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7" i="2" l="1"/>
  <c r="H17" i="2" s="1"/>
  <c r="D16" i="2"/>
  <c r="H16" i="2" s="1"/>
  <c r="D15" i="2"/>
  <c r="H15" i="2" s="1"/>
  <c r="D18" i="2"/>
  <c r="H18" i="2" s="1"/>
  <c r="G5" i="2"/>
  <c r="D13" i="2"/>
  <c r="H13" i="2" s="1"/>
  <c r="D14" i="2"/>
  <c r="H14" i="2" s="1"/>
</calcChain>
</file>

<file path=xl/sharedStrings.xml><?xml version="1.0" encoding="utf-8"?>
<sst xmlns="http://schemas.openxmlformats.org/spreadsheetml/2006/main" count="5453" uniqueCount="2616">
  <si>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</si>
  <si>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</si>
  <si>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</si>
  <si>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Week</t>
  </si>
  <si>
    <t>Seq</t>
  </si>
  <si>
    <t>Priority</t>
  </si>
  <si>
    <t>Workstream</t>
  </si>
  <si>
    <t>Task / Outcome</t>
  </si>
  <si>
    <t>Why It Matters</t>
  </si>
  <si>
    <t>Owner</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</si>
  <si>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</si>
  <si>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</si>
  <si>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</si>
  <si>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</si>
  <si>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</si>
  <si>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</si>
  <si>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</si>
  <si>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</si>
  <si>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</si>
  <si>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</si>
  <si>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</si>
  <si>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</si>
  <si>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</si>
  <si>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</si>
  <si>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Week 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</si>
  <si>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</si>
  <si>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</si>
  <si>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</si>
  <si>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</si>
  <si>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</si>
  <si>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</si>
  <si>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</si>
  <si>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</si>
  <si>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</si>
  <si>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</si>
  <si>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</si>
  <si>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</si>
  <si>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</si>
  <si>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</si>
  <si>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Done</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</si>
  <si>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</si>
  <si>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</si>
  <si>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</si>
  <si>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</si>
  <si>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</si>
  <si>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</si>
  <si>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</si>
  <si>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</si>
  <si>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</si>
  <si>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</si>
  <si>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</si>
  <si>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</si>
  <si>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</si>
  <si>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</si>
  <si>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</si>
  <si>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</si>
  <si>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</si>
  <si>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</si>
  <si>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</si>
  <si>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</si>
  <si>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</si>
  <si>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</si>
  <si>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</si>
  <si>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</si>
  <si>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</si>
  <si>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</si>
  <si>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</si>
  <si>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</si>
  <si>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</si>
  <si>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</si>
  <si>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</si>
  <si>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</si>
  <si>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</si>
  <si>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</si>
  <si>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</si>
  <si>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</si>
  <si>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python -m tools.platformctl validate</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</si>
  <si>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</si>
  <si>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</si>
  <si>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</si>
  <si>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</si>
  <si>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</si>
  <si>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</si>
  <si>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</si>
  <si>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</si>
  <si>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</si>
  <si>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</si>
  <si>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</si>
  <si>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</si>
  <si>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</si>
  <si>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</si>
  <si>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</si>
  <si>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</si>
  <si>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</si>
  <si>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</si>
  <si>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</si>
  <si>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</si>
  <si>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</si>
  <si>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</si>
  <si>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</si>
  <si>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</si>
  <si>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</si>
  <si>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</si>
  <si>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</si>
  <si>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</si>
  <si>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</si>
  <si>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</si>
  <si>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</si>
  <si>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</si>
  <si>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</si>
  <si>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</si>
  <si>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</si>
  <si>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</si>
  <si>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</si>
  <si>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</si>
  <si>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</si>
  <si>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</si>
  <si>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</si>
  <si>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</si>
  <si>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</si>
  <si>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</si>
  <si>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</si>
  <si>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</si>
  <si>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</si>
  <si>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</si>
  <si>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</si>
  <si>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</si>
  <si>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</si>
  <si>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</si>
  <si>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</si>
  <si>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</si>
  <si>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</si>
  <si>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</si>
  <si>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</si>
  <si>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</si>
  <si>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</si>
  <si>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</si>
  <si>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</si>
  <si>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</si>
  <si>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</si>
  <si>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</si>
  <si>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</si>
  <si>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</si>
  <si>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</si>
  <si>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</si>
  <si>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</si>
  <si>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</si>
  <si>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</si>
  <si>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</si>
  <si>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</si>
  <si>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</si>
  <si>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</si>
  <si>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</si>
  <si>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</si>
  <si>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</si>
  <si>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</si>
  <si>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</si>
  <si>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</si>
  <si>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</si>
  <si>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</si>
  <si>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</si>
  <si>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</si>
  <si>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</si>
  <si>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</si>
  <si>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</si>
  <si>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</si>
  <si>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</si>
  <si>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</si>
  <si>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</si>
  <si>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</si>
  <si>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</si>
  <si>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W1-REVIEW-001</t>
  </si>
  <si>
    <t>All Week 1 TODOs</t>
  </si>
  <si>
    <t>Every MUST step is Done; no blocker or unapproved scope remains.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</si>
  <si>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</si>
  <si>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</si>
  <si>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</si>
  <si>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</si>
  <si>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</si>
  <si>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</si>
  <si>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</si>
  <si>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</si>
  <si>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</si>
  <si>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</si>
  <si>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</si>
  <si>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</si>
  <si>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</si>
  <si>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Owner completes the teach-back and records notes in docs/learning/W1-learning-review.md</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</si>
  <si>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</si>
  <si>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</si>
  <si>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</si>
  <si>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</si>
  <si>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</si>
  <si>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</si>
  <si>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</si>
  <si>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Week 2</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</si>
  <si>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</si>
  <si>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</si>
  <si>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</si>
  <si>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</si>
  <si>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</si>
  <si>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</si>
  <si>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</si>
  <si>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</si>
  <si>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</si>
  <si>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</si>
  <si>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</si>
  <si>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</si>
  <si>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</si>
  <si>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</si>
  <si>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</si>
  <si>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</si>
  <si>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</si>
  <si>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</si>
  <si>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</si>
  <si>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</si>
  <si>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</si>
  <si>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</si>
  <si>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</si>
  <si>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</si>
  <si>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</si>
  <si>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</si>
  <si>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</si>
  <si>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</si>
  <si>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Service is healthy; image version is pinned.</t>
  </si>
  <si>
    <t>docs/test-evidence/W2-03-qdrant.txt</t>
  </si>
  <si>
    <t>ADR-003</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</si>
  <si>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</si>
  <si>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</si>
  <si>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</si>
  <si>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</si>
  <si>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</si>
  <si>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</si>
  <si>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</si>
  <si>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</si>
  <si>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</si>
  <si>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</si>
  <si>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</si>
  <si>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</si>
  <si>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</si>
  <si>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</si>
  <si>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</si>
  <si>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</si>
  <si>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</si>
  <si>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</si>
  <si>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</si>
  <si>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</si>
  <si>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</si>
  <si>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</si>
  <si>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</si>
  <si>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</si>
  <si>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</si>
  <si>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</si>
  <si>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</si>
  <si>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</si>
  <si>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</si>
  <si>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</si>
  <si>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</si>
  <si>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</si>
  <si>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</si>
  <si>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</si>
  <si>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</si>
  <si>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</si>
  <si>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</si>
  <si>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</si>
  <si>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</si>
  <si>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</si>
  <si>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</si>
  <si>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</si>
  <si>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</si>
  <si>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</si>
  <si>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</si>
  <si>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</si>
  <si>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</si>
  <si>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</si>
  <si>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</si>
  <si>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</si>
  <si>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</si>
  <si>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</si>
  <si>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</si>
  <si>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</si>
  <si>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</si>
  <si>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</si>
  <si>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</si>
  <si>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</si>
  <si>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</si>
  <si>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</si>
  <si>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</si>
  <si>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</si>
  <si>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</si>
  <si>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</si>
  <si>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</si>
  <si>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</si>
  <si>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</si>
  <si>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</si>
  <si>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</si>
  <si>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</si>
  <si>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</si>
  <si>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</si>
  <si>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</si>
  <si>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</si>
  <si>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</si>
  <si>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</si>
  <si>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</si>
  <si>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</si>
  <si>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</si>
  <si>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</si>
  <si>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</si>
  <si>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</si>
  <si>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</si>
  <si>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</si>
  <si>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</si>
  <si>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</si>
  <si>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</si>
  <si>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</si>
  <si>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</si>
  <si>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</si>
  <si>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</si>
  <si>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</si>
  <si>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</si>
  <si>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Owner records the five-minute teach-back notes in docs/architecture/local-retrieval.md</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</si>
  <si>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</si>
  <si>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</si>
  <si>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</si>
  <si>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</si>
  <si>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</si>
  <si>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</si>
  <si>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</si>
  <si>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</si>
  <si>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W2-REVIEW-001</t>
  </si>
  <si>
    <t>BED-001, EVAL-001</t>
  </si>
  <si>
    <t>All MUST tests and cleanup evidence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</si>
  <si>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</si>
  <si>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</si>
  <si>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</si>
  <si>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</si>
  <si>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</si>
  <si>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</si>
  <si>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</si>
  <si>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</si>
  <si>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</si>
  <si>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</si>
  <si>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Owner completes the teach-back and records notes in docs/learning/W2-learning-review.md</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</si>
  <si>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</si>
  <si>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</si>
  <si>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</si>
  <si>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</si>
  <si>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Week 3</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</si>
  <si>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</si>
  <si>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</si>
  <si>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</si>
  <si>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</si>
  <si>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</si>
  <si>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</si>
  <si>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</si>
  <si>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</si>
  <si>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</si>
  <si>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</si>
  <si>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</si>
  <si>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</si>
  <si>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</si>
  <si>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</si>
  <si>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</si>
  <si>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</si>
  <si>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</si>
  <si>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</si>
  <si>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</si>
  <si>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</si>
  <si>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</si>
  <si>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</si>
  <si>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</si>
  <si>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</si>
  <si>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</si>
  <si>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</si>
  <si>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</si>
  <si>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</si>
  <si>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</si>
  <si>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</si>
  <si>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</si>
  <si>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</si>
  <si>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</si>
  <si>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</si>
  <si>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</si>
  <si>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</si>
  <si>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</si>
  <si>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</si>
  <si>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</si>
  <si>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</si>
  <si>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</si>
  <si>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</si>
  <si>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</si>
  <si>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</si>
  <si>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</si>
  <si>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</si>
  <si>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</si>
  <si>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</si>
  <si>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</si>
  <si>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</si>
  <si>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</si>
  <si>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</si>
  <si>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</si>
  <si>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</si>
  <si>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</si>
  <si>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</si>
  <si>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</si>
  <si>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</si>
  <si>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</si>
  <si>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</si>
  <si>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</si>
  <si>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</si>
  <si>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</si>
  <si>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</si>
  <si>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</si>
  <si>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</si>
  <si>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</si>
  <si>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</si>
  <si>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</si>
  <si>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</si>
  <si>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</si>
  <si>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</si>
  <si>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</si>
  <si>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</si>
  <si>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</si>
  <si>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</si>
  <si>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</si>
  <si>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python -m enterprise_ai_platform.evaluation.runner --dataset configs/eval/golden.jsonl --out reports/eval.json</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</si>
  <si>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</si>
  <si>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</si>
  <si>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</si>
  <si>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</si>
  <si>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</si>
  <si>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</si>
  <si>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</si>
  <si>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</si>
  <si>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</si>
  <si>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</si>
  <si>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</si>
  <si>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</si>
  <si>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</si>
  <si>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</si>
  <si>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</si>
  <si>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</si>
  <si>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</si>
  <si>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</si>
  <si>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</si>
  <si>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</si>
  <si>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</si>
  <si>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</si>
  <si>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</si>
  <si>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</si>
  <si>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</si>
  <si>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</si>
  <si>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</si>
  <si>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</si>
  <si>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</si>
  <si>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</si>
  <si>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</si>
  <si>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</si>
  <si>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</si>
  <si>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</si>
  <si>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</si>
  <si>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</si>
  <si>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</si>
  <si>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</si>
  <si>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</si>
  <si>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</si>
  <si>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</si>
  <si>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</si>
  <si>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</si>
  <si>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</si>
  <si>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</si>
  <si>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</si>
  <si>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</si>
  <si>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</si>
  <si>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</si>
  <si>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</si>
  <si>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</si>
  <si>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</si>
  <si>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</si>
  <si>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</si>
  <si>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W3-REVIEW-001</t>
  </si>
  <si>
    <t>APP-001</t>
  </si>
  <si>
    <t>Grounded answer or abstention works; security/regression/rollback tests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</si>
  <si>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</si>
  <si>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</si>
  <si>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</si>
  <si>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</si>
  <si>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</si>
  <si>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</si>
  <si>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</si>
  <si>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</si>
  <si>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</si>
  <si>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</si>
  <si>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Owner completes the teach-back and records notes in docs/learning/W3-learning-review.md</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</si>
  <si>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</si>
  <si>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</si>
  <si>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</si>
  <si>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</si>
  <si>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</si>
  <si>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Week 4</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</si>
  <si>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</si>
  <si>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</si>
  <si>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</si>
  <si>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</si>
  <si>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</si>
  <si>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</si>
  <si>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</si>
  <si>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</si>
  <si>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</si>
  <si>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</si>
  <si>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</si>
  <si>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</si>
  <si>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</si>
  <si>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</si>
  <si>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</si>
  <si>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</si>
  <si>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</si>
  <si>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</si>
  <si>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</si>
  <si>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</si>
  <si>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</si>
  <si>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</si>
  <si>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</si>
  <si>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</si>
  <si>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</si>
  <si>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</si>
  <si>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</si>
  <si>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</si>
  <si>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</si>
  <si>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</si>
  <si>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</si>
  <si>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</si>
  <si>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</si>
  <si>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</si>
  <si>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</si>
  <si>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</si>
  <si>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</si>
  <si>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</si>
  <si>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</si>
  <si>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</si>
  <si>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</si>
  <si>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</si>
  <si>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</si>
  <si>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</si>
  <si>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</si>
  <si>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</si>
  <si>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</si>
  <si>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</si>
  <si>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</si>
  <si>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</si>
  <si>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</si>
  <si>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</si>
  <si>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</si>
  <si>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</si>
  <si>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</si>
  <si>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</si>
  <si>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</si>
  <si>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</si>
  <si>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</si>
  <si>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</si>
  <si>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</si>
  <si>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</si>
  <si>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</si>
  <si>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</si>
  <si>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</si>
  <si>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</si>
  <si>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</si>
  <si>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</si>
  <si>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</si>
  <si>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</si>
  <si>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</si>
  <si>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</si>
  <si>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</si>
  <si>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</si>
  <si>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</si>
  <si>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</si>
  <si>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</si>
  <si>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</si>
  <si>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</si>
  <si>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</si>
  <si>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</si>
  <si>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</si>
  <si>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</si>
  <si>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</si>
  <si>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</si>
  <si>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</si>
  <si>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</si>
  <si>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</si>
  <si>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</si>
  <si>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</si>
  <si>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</si>
  <si>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</si>
  <si>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</si>
  <si>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</si>
  <si>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</si>
  <si>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</si>
  <si>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</si>
  <si>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</si>
  <si>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</si>
  <si>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</si>
  <si>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</si>
  <si>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</si>
  <si>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</si>
  <si>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</si>
  <si>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</si>
  <si>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</si>
  <si>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</si>
  <si>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</si>
  <si>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</si>
  <si>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</si>
  <si>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</si>
  <si>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</si>
  <si>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</si>
  <si>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</si>
  <si>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</si>
  <si>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</si>
  <si>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</si>
  <si>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</si>
  <si>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</si>
  <si>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</si>
  <si>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</si>
  <si>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</si>
  <si>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</si>
  <si>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</si>
  <si>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</si>
  <si>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</si>
  <si>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W4-REVIEW-001</t>
  </si>
  <si>
    <t>AWS-001, AWS-002, NET-001, TAG-001, COST-001</t>
  </si>
  <si>
    <t>All consequential actions are policy-valid and approved.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</si>
  <si>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</si>
  <si>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</si>
  <si>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</si>
  <si>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</si>
  <si>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</si>
  <si>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</si>
  <si>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</si>
  <si>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</si>
  <si>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</si>
  <si>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</si>
  <si>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Owner completes the teach-back and records notes in docs/learning/W4-learning-review.md</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</si>
  <si>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</si>
  <si>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</si>
  <si>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</si>
  <si>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</si>
  <si>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</si>
  <si>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Week 5</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</si>
  <si>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</si>
  <si>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</si>
  <si>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</si>
  <si>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</si>
  <si>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</si>
  <si>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</si>
  <si>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</si>
  <si>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</si>
  <si>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</si>
  <si>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</si>
  <si>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In Progress</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</si>
  <si>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</si>
  <si>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</si>
  <si>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 + Bedrock verification</t>
  </si>
  <si>
    <t>Build isolated encrypted/versioned S3 state with Terraform 1.5 DynamoDB locking, plus a provider-neutral Bedrock owner-verification utility.</t>
  </si>
  <si>
    <t>State must survive rollback, while model access, quota, quality, security and cost must be proven before Terraform apply/deployment approval.</t>
  </si>
  <si>
    <t>W5-001</t>
  </si>
  <si>
    <t>AWS-001, AWS-002, TAG-001, BED-001</t>
  </si>
  <si>
    <t>Bootstrap fmt/validate/Checkov passes; the verification utility fails closed and emits a redacted classified report; every AWS call remains owner-run.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</si>
  <si>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
W5-02 / BED-001 OWNER VERIFICATION — After activating the approved external environment and AWS SSO/assumed-role identity, validate configs/verification/bedrock-owner-test.json. The JSON contains only non-secret expected account, source Region, target type, exact model/profile IDs, explicit Service Quotas codes, evaluation paths, inference limits and cost ceiling; credentials remain outside the file. Run read-only STS, Bedrock control-plane and Service Quotas checks first. Only after explicit owner approval for network and paid model use, run one synthetic Converse smoke request and the existing 39-case quality/security evaluation. Write only a redacted reports/verification/bedrock-owner-test-result.json. Classify every check PASS, FAIL, NOT RUN or INDETERMINATE. Stop on account/Region/model/profile mismatch, ambiguous or insufficient quota, quality/security failure, cost ceiling, unexpected provider/Region substitution, content leakage or residue. The utility may report eligible_for_owner_approval=true but cannot approve itself or modify the immutable W3-002 baseline.</t>
  </si>
  <si>
    <t>Bootstrap plan contains only expected resources; Bedrock evidence proves identity/access/quota and, when approved and run, quality/security/cost eligibility without altering W3-002.</t>
  </si>
  <si>
    <t>docs/test-evidence/W5-02-bootstrap.txt; docs/test-evidence/W5-02-bedrock-verification.txt</t>
  </si>
  <si>
    <t>Destroy platform first; review bootstrap destroy separately. Verification creates no AWS resource; retain or remove only the approved local report and task cache.</t>
  </si>
  <si>
    <t>BED-001 verification is implemented in W5-02. Its live/paid result blocks Terraform apply/deployment approval, not code writing or static tests.</t>
  </si>
  <si>
    <t>Week 5 State bootstrap and BED-001 owner-verification task. After exact Code Edit Approval, Codex writes only the approved Terraform bootstrap plus the provider-neutral verification utility, non-secret JSON contract and deterministic fake-based tests. The owner runs every command and AWS call. Read-only identity/model/quota checks precede any paid call; a synthetic Converse smoke and the existing 39-case quality/security evaluation require explicit owner network/cost approval. The redacted report records identity match, access, exact quota evidence, metrics, security gates, tokens, estimated cost, lifecycle and PASS/FAIL/NOT RUN/INDETERMINATE. It never stores credentials, raw prompts, answers, evidence or provider payloads, never replaces the W3-002 baseline and never grants its own final approval. BED-001 verification must pass before Terraform apply/deployment approval; it does not block bounded code writing or static validation. State survives platform rollback and is removed last; the verification utility creates no AWS resource and its local report/cache lifecycle must be explicit.</t>
  </si>
  <si>
    <t>W5-03</t>
  </si>
  <si>
    <t>Security foundation</t>
  </si>
  <si>
    <t>Create KMS, private/versioned S3 and secret-metadata modules.</t>
  </si>
  <si>
    <t>Encryption and secret separation are foundational controls.</t>
  </si>
  <si>
    <t>KMS-001, TAG-001</t>
  </si>
  <si>
    <t>No public access or secret value resource exists.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</si>
  <si>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</si>
  <si>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</si>
  <si>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</si>
  <si>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</si>
  <si>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</si>
  <si>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</si>
  <si>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</si>
  <si>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</si>
  <si>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</si>
  <si>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</si>
  <si>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</si>
  <si>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</si>
  <si>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</si>
  <si>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</si>
  <si>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</si>
  <si>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</si>
  <si>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</si>
  <si>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</si>
  <si>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</si>
  <si>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</si>
  <si>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</si>
  <si>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</si>
  <si>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</si>
  <si>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</si>
  <si>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</si>
  <si>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</si>
  <si>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</si>
  <si>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</si>
  <si>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</si>
  <si>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</si>
  <si>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</si>
  <si>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</si>
  <si>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</si>
  <si>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</si>
  <si>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</si>
  <si>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</si>
  <si>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</si>
  <si>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</si>
  <si>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</si>
  <si>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</si>
  <si>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</si>
  <si>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</si>
  <si>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</si>
  <si>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</si>
  <si>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</si>
  <si>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</si>
  <si>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</si>
  <si>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</si>
  <si>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</si>
  <si>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</si>
  <si>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</si>
  <si>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</si>
  <si>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</si>
  <si>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</si>
  <si>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</si>
  <si>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</si>
  <si>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</si>
  <si>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</si>
  <si>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</si>
  <si>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</si>
  <si>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</si>
  <si>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</si>
  <si>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</si>
  <si>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</si>
  <si>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</si>
  <si>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</si>
  <si>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</si>
  <si>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</si>
  <si>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</si>
  <si>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</si>
  <si>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</si>
  <si>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</si>
  <si>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</si>
  <si>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</si>
  <si>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</si>
  <si>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</si>
  <si>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</si>
  <si>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</si>
  <si>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</si>
  <si>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</si>
  <si>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</si>
  <si>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</si>
  <si>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</si>
  <si>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</si>
  <si>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</si>
  <si>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</si>
  <si>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</si>
  <si>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</si>
  <si>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</si>
  <si>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</si>
  <si>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</si>
  <si>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</si>
  <si>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</si>
  <si>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</si>
  <si>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</si>
  <si>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</si>
  <si>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</si>
  <si>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</si>
  <si>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</si>
  <si>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</si>
  <si>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</si>
  <si>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</si>
  <si>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</si>
  <si>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</si>
  <si>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</si>
  <si>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</si>
  <si>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</si>
  <si>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</si>
  <si>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</si>
  <si>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</si>
  <si>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</si>
  <si>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</si>
  <si>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</si>
  <si>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</si>
  <si>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</si>
  <si>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W5-REVIEW-001</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</si>
  <si>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</si>
  <si>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</si>
  <si>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</si>
  <si>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</si>
  <si>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</si>
  <si>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</si>
  <si>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</si>
  <si>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Not Started</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</si>
  <si>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</si>
  <si>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</si>
  <si>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</si>
  <si>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</si>
  <si>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</si>
  <si>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Owner completes the teach-back and records notes in docs/learning/W5-learning-review.md</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</si>
  <si>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</si>
  <si>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</si>
  <si>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</si>
  <si>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</si>
  <si>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</si>
  <si>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Week 6</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</si>
  <si>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</si>
  <si>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</si>
  <si>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</si>
  <si>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</si>
  <si>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</si>
  <si>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</si>
  <si>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</si>
  <si>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</si>
  <si>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</si>
  <si>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</si>
  <si>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</si>
  <si>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</si>
  <si>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</si>
  <si>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</si>
  <si>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</si>
  <si>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</si>
  <si>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</si>
  <si>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</si>
  <si>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</si>
  <si>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</si>
  <si>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</si>
  <si>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</si>
  <si>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</si>
  <si>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</si>
  <si>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</si>
  <si>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</si>
  <si>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</si>
  <si>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</si>
  <si>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</si>
  <si>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</si>
  <si>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</si>
  <si>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</si>
  <si>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</si>
  <si>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</si>
  <si>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</si>
  <si>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</si>
  <si>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</si>
  <si>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</si>
  <si>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</si>
  <si>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</si>
  <si>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</si>
  <si>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</si>
  <si>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</si>
  <si>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</si>
  <si>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</si>
  <si>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</si>
  <si>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</si>
  <si>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</si>
  <si>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</si>
  <si>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</si>
  <si>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</si>
  <si>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</si>
  <si>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</si>
  <si>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</si>
  <si>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</si>
  <si>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</si>
  <si>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</si>
  <si>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</si>
  <si>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</si>
  <si>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</si>
  <si>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</si>
  <si>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</si>
  <si>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</si>
  <si>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</si>
  <si>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</si>
  <si>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</si>
  <si>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</si>
  <si>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</si>
  <si>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</si>
  <si>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</si>
  <si>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</si>
  <si>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</si>
  <si>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</si>
  <si>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</si>
  <si>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</si>
  <si>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</si>
  <si>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</si>
  <si>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</si>
  <si>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</si>
  <si>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</si>
  <si>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</si>
  <si>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</si>
  <si>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</si>
  <si>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</si>
  <si>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</si>
  <si>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</si>
  <si>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</si>
  <si>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</si>
  <si>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</si>
  <si>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</si>
  <si>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</si>
  <si>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</si>
  <si>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</si>
  <si>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</si>
  <si>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</si>
  <si>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</si>
  <si>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</si>
  <si>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</si>
  <si>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</si>
  <si>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</si>
  <si>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</si>
  <si>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</si>
  <si>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</si>
  <si>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</si>
  <si>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</si>
  <si>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</si>
  <si>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</si>
  <si>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</si>
  <si>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</si>
  <si>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</si>
  <si>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</si>
  <si>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</si>
  <si>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</si>
  <si>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</si>
  <si>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</si>
  <si>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</si>
  <si>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</si>
  <si>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</si>
  <si>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</si>
  <si>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</si>
  <si>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</si>
  <si>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</si>
  <si>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</si>
  <si>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</si>
  <si>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</si>
  <si>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</si>
  <si>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</si>
  <si>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</si>
  <si>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</si>
  <si>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</si>
  <si>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</si>
  <si>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</si>
  <si>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</si>
  <si>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</si>
  <si>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</si>
  <si>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</si>
  <si>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</si>
  <si>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</si>
  <si>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</si>
  <si>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</si>
  <si>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</si>
  <si>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</si>
  <si>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</si>
  <si>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</si>
  <si>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</si>
  <si>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</si>
  <si>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</si>
  <si>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</si>
  <si>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</si>
  <si>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</si>
  <si>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</si>
  <si>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Owner completes the teach-back and records notes in docs/learning/W6-learning-review.md</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</si>
  <si>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</si>
  <si>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</si>
  <si>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</si>
  <si>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</si>
  <si>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</si>
  <si>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</si>
  <si>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</si>
  <si>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</si>
  <si>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</si>
  <si>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</si>
  <si>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</si>
  <si>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</si>
  <si>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</si>
  <si>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</si>
  <si>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</si>
  <si>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</si>
  <si>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</si>
  <si>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</si>
  <si>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</si>
  <si>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</si>
  <si>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</si>
  <si>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</si>
  <si>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</si>
  <si>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</si>
  <si>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</si>
  <si>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</si>
  <si>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</si>
  <si>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</si>
  <si>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</si>
  <si>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</si>
  <si>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</si>
  <si>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</si>
  <si>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</si>
  <si>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</si>
  <si>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</si>
  <si>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</si>
  <si>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</si>
  <si>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</si>
  <si>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Gyan Prakash Rai</t>
  </si>
  <si>
    <t>Current week</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</si>
  <si>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</si>
  <si>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</si>
  <si>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</si>
  <si>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</si>
  <si>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</si>
  <si>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</si>
  <si>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</si>
  <si>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</si>
  <si>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Overall progress</t>
  </si>
  <si>
    <t>Blocked</t>
  </si>
  <si>
    <t>Open owner TODOs</t>
  </si>
  <si>
    <t>Tests passed</t>
  </si>
  <si>
    <t>Decisions approved</t>
  </si>
  <si>
    <t>Lifecycle tests passed</t>
  </si>
  <si>
    <t>Total</t>
  </si>
  <si>
    <t>Progress</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</si>
  <si>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</si>
  <si>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</si>
  <si>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</si>
  <si>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</si>
  <si>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</si>
  <si>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</si>
  <si>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</si>
  <si>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</si>
  <si>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</si>
  <si>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</si>
  <si>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</si>
  <si>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</si>
  <si>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</si>
  <si>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</si>
  <si>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</si>
  <si>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</si>
  <si>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</si>
  <si>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</si>
  <si>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</si>
  <si>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</si>
  <si>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</si>
  <si>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</si>
  <si>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</si>
  <si>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</si>
  <si>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</si>
  <si>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</si>
  <si>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</si>
  <si>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</si>
  <si>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</si>
  <si>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</si>
  <si>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</si>
  <si>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</si>
  <si>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</si>
  <si>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</si>
  <si>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</si>
  <si>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</si>
  <si>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</si>
  <si>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</si>
  <si>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</si>
  <si>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</si>
  <si>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</si>
  <si>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</si>
  <si>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</si>
  <si>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</si>
  <si>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</si>
  <si>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</si>
  <si>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</si>
  <si>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</si>
  <si>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</si>
  <si>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</si>
  <si>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</si>
  <si>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</si>
  <si>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</si>
  <si>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</si>
  <si>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sheet, evidence register, ADRs, TODOs and owner-supplied results</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</si>
  <si>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</si>
  <si>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</si>
  <si>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</si>
  <si>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</si>
  <si>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</si>
  <si>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</si>
  <si>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</si>
  <si>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</si>
  <si>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</si>
  <si>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</si>
  <si>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</si>
  <si>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</si>
  <si>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</si>
  <si>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</si>
  <si>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</si>
  <si>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</si>
  <si>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</si>
  <si>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</si>
  <si>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</si>
  <si>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</si>
  <si>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</si>
  <si>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</si>
  <si>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</si>
  <si>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</si>
  <si>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</si>
  <si>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</si>
  <si>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</si>
  <si>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Owner-written evidence: docs/architecture/local-retrieval.md</t>
  </si>
  <si>
    <t>Use only for owner learning and teach-back; no code, command or document mutation</t>
  </si>
  <si>
    <t>Week 2 sheet, evidence register, ADRs, TODOs and owner-supplied results</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</si>
  <si>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</si>
  <si>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</si>
  <si>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</si>
  <si>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</si>
  <si>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</si>
  <si>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Deferred</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</si>
  <si>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</si>
  <si>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</si>
  <si>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</si>
  <si>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</si>
  <si>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</si>
  <si>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</si>
  <si>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</si>
  <si>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</si>
  <si>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</si>
  <si>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</si>
  <si>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</si>
  <si>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</si>
  <si>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</si>
  <si>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</si>
  <si>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</si>
  <si>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</si>
  <si>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sheet, evidence register, ADRs, TODOs and owner-supplied results</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</si>
  <si>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</si>
  <si>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</si>
  <si>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</si>
  <si>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</si>
  <si>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</si>
  <si>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</si>
  <si>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</si>
  <si>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</si>
  <si>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</si>
  <si>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</si>
  <si>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</si>
  <si>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</si>
  <si>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</si>
  <si>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</si>
  <si>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</si>
  <si>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</si>
  <si>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</si>
  <si>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</si>
  <si>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</si>
  <si>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</si>
  <si>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</si>
  <si>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sheet, evidence register, ADRs, TODOs and owner-supplied results</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</si>
  <si>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</si>
  <si>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</si>
  <si>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</si>
  <si>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</si>
  <si>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</si>
  <si>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</si>
  <si>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</si>
  <si>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</si>
  <si>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</si>
  <si>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</si>
  <si>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</si>
  <si>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</si>
  <si>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</si>
  <si>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</si>
  <si>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</si>
  <si>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</si>
  <si>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</si>
  <si>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</si>
  <si>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</si>
  <si>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</si>
  <si>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</si>
  <si>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</si>
  <si>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</si>
  <si>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</si>
  <si>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</si>
  <si>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sheet, evidence register, ADRs, TODOs and owner-supplied results</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</si>
  <si>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</si>
  <si>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</si>
  <si>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</si>
  <si>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</si>
  <si>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</si>
  <si>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</si>
  <si>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</si>
  <si>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</si>
  <si>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</si>
  <si>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</si>
  <si>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</si>
  <si>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</si>
  <si>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</si>
  <si>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</si>
  <si>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</si>
  <si>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</si>
  <si>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</si>
  <si>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</si>
  <si>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</si>
  <si>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</si>
  <si>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</si>
  <si>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</si>
  <si>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</si>
  <si>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</si>
  <si>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</si>
  <si>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</si>
  <si>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</si>
  <si>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</si>
  <si>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</si>
  <si>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</si>
  <si>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</si>
  <si>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</si>
  <si>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</si>
  <si>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</si>
  <si>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</si>
  <si>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</si>
  <si>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</si>
  <si>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</si>
  <si>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</si>
  <si>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</si>
  <si>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</si>
  <si>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</si>
  <si>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</si>
  <si>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</si>
  <si>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</si>
  <si>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</si>
  <si>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</si>
  <si>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</si>
  <si>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</si>
  <si>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</si>
  <si>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</si>
  <si>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</si>
  <si>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</si>
  <si>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</si>
  <si>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</si>
  <si>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</si>
  <si>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</si>
  <si>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</si>
  <si>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</si>
  <si>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</si>
  <si>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</si>
  <si>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</si>
  <si>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</si>
  <si>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</si>
  <si>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</si>
  <si>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</si>
  <si>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</si>
  <si>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</si>
  <si>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</si>
  <si>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</si>
  <si>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</si>
  <si>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</si>
  <si>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</si>
  <si>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</si>
  <si>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</si>
  <si>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</si>
  <si>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</si>
  <si>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</si>
  <si>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</si>
  <si>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</si>
  <si>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</si>
  <si>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</si>
  <si>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</si>
  <si>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</si>
  <si>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</si>
  <si>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</si>
  <si>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</si>
  <si>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</si>
  <si>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</si>
  <si>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</si>
  <si>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</si>
  <si>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</si>
  <si>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</si>
  <si>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</si>
  <si>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</si>
  <si>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</si>
  <si>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</si>
  <si>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</si>
  <si>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</si>
  <si>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</si>
  <si>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</si>
  <si>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</si>
  <si>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</si>
  <si>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</si>
  <si>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</si>
  <si>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</si>
  <si>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</si>
  <si>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</si>
  <si>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</si>
  <si>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</si>
  <si>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</si>
  <si>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</si>
  <si>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</si>
  <si>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</si>
  <si>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</si>
  <si>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</si>
  <si>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</si>
  <si>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</si>
  <si>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</si>
  <si>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</si>
  <si>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</si>
  <si>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</si>
  <si>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</si>
  <si>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</si>
  <si>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</si>
  <si>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</si>
  <si>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</si>
  <si>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</si>
  <si>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</si>
  <si>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</si>
  <si>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</si>
  <si>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</si>
  <si>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</si>
  <si>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</si>
  <si>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</si>
  <si>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</si>
  <si>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</si>
  <si>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</si>
  <si>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</si>
  <si>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v1.3.5</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</si>
  <si>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</si>
  <si>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</si>
  <si>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</si>
  <si>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</si>
  <si>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</si>
  <si>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</si>
  <si>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</si>
  <si>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</si>
  <si>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</si>
  <si>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CTX-001</t>
  </si>
  <si>
    <t>All</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</si>
  <si>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</si>
  <si>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</si>
  <si>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</si>
  <si>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</si>
  <si>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v1.3.5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</si>
  <si>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</si>
  <si>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</si>
  <si>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</si>
  <si>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</si>
  <si>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</si>
  <si>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</si>
  <si>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</si>
  <si>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</si>
  <si>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</si>
  <si>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v1.3.5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</si>
  <si>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</si>
  <si>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TEST-001</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</si>
  <si>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</si>
  <si>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</si>
  <si>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</si>
  <si>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</si>
  <si>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v1.3.5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</si>
  <si>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</si>
  <si>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v1.3.5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</si>
  <si>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</si>
  <si>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</si>
  <si>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</si>
  <si>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</si>
  <si>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</si>
  <si>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</si>
  <si>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v1.3.5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</si>
  <si>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</si>
  <si>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</si>
  <si>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</si>
  <si>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</si>
  <si>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</si>
  <si>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v1.3.5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</si>
  <si>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</si>
  <si>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</si>
  <si>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</si>
  <si>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</si>
  <si>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</si>
  <si>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</si>
  <si>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v1.3.5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</si>
  <si>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</si>
  <si>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</si>
  <si>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</si>
  <si>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</si>
  <si>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v1.3.5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</si>
  <si>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</si>
  <si>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</si>
  <si>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</si>
  <si>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</si>
  <si>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</si>
  <si>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v1.3.5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</si>
  <si>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</si>
  <si>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</si>
  <si>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</si>
  <si>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</si>
  <si>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</si>
  <si>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</si>
  <si>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</si>
  <si>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</si>
  <si>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v1.3.5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</si>
  <si>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</si>
  <si>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</si>
  <si>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</si>
  <si>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</si>
  <si>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</si>
  <si>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v1.3.5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</si>
  <si>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</si>
  <si>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</si>
  <si>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</si>
  <si>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</si>
  <si>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v1.3.5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</si>
  <si>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</si>
  <si>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</si>
  <si>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</si>
  <si>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</si>
  <si>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</si>
  <si>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</si>
  <si>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</si>
  <si>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</si>
  <si>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v1.3.5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</si>
  <si>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</si>
  <si>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</si>
  <si>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docs/governance/Enterprise_AI_Architecture_6_Week_Execution_Tracker_v1.3.5_repaired.xlsx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</si>
  <si>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</si>
  <si>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</si>
  <si>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</si>
  <si>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v1.3.5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</si>
  <si>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</si>
  <si>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</si>
  <si>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</si>
  <si>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ROLLBACK AND TEARDOWN</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</si>
  <si>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</si>
  <si>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</si>
  <si>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OWNER-CONTROLLED WORKFLOW — FOUR APPROVAL GATES PLUS OWNER TESTING AND WEEKLY LEARNING — TRACKER v1.3.5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docs/governance/Enterprise_AI_Architecture_6_Week_Execution_Tracker_v1.3.5_repaired.xlsx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</si>
  <si>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READY FOR PRE-EDIT REVIEW — W3-001</t>
  </si>
  <si>
    <t>W3-01, W3-02, W3-03, W3-04</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</si>
  <si>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</si>
  <si>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</si>
  <si>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</si>
  <si>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OWNER-CONTROLLED WORKFLOW — FOUR APPROVAL GATES PLUS OWNER TESTING AND LEARNING — TRACKER v1.3.5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docs/governance/Enterprise_AI_Architecture_6_Week_Execution_Tracker_v1.3.5_repaired.xlsx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</si>
  <si>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READY FOR PRE-EDIT REVIEW — W3-002</t>
  </si>
  <si>
    <t>W3-06, W3-07, W3-10</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</si>
  <si>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</si>
  <si>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</si>
  <si>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</si>
  <si>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FOUR APPROVAL GATES PLUS OWNER TESTING AND WEEKLY LEARNING — TRACKER v1.3.5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</si>
  <si>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READY FOR PRE-EDIT REVIEW — W3-003</t>
  </si>
  <si>
    <t>W3-05, W3-08</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</si>
  <si>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</si>
  <si>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</si>
  <si>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</si>
  <si>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FOUR APPROVAL GATES PLUS OWNER TESTING AND WEEKLY LEARNING — TRACKER v1.3.5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</si>
  <si>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</si>
  <si>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</si>
  <si>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</si>
  <si>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</si>
  <si>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FOUR APPROVAL GATES PLUS OWNER TESTING AND WEEKLY LEARNING — TRACKER v1.3.5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</si>
  <si>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READY FOR PRE-EDIT REVIEW — W4-001</t>
  </si>
  <si>
    <t>W4-01, W4-02, W4-10</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</si>
  <si>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</si>
  <si>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</si>
  <si>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</si>
  <si>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FOUR APPROVAL GATES PLUS OWNER TESTING AND WEEKLY LEARNING — TRACKER v1.3.5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v1.3.5,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v1.3.5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</si>
  <si>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READY FOR PRE-EDIT REVIEW — W4-002</t>
  </si>
  <si>
    <t>W4-03, W4-04, W4-05, W4-06, W4-07, W4-09</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</si>
  <si>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</si>
  <si>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</si>
  <si>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</si>
  <si>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FOUR APPROVAL GATES PLUS OWNER TESTING AND WEEKLY LEARNING — TRACKER v1.3.5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v1.3.5.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</si>
  <si>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READY FOR PRE-EDIT REVIEW — W4-003</t>
  </si>
  <si>
    <t>W3-09, W4-08</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</si>
  <si>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</si>
  <si>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</si>
  <si>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</si>
  <si>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FOUR APPROVAL GATES PLUS OWNER TESTING AND WEEKLY LEARNING — TRACKER v1.3.5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v1.3.5.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</si>
  <si>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READY FOR PRE-EDIT REVIEW — W4-ROLLBACK-001</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</si>
  <si>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</si>
  <si>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</si>
  <si>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</si>
  <si>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CONTENT REVIEW AND WEEKLY LEARNING — TRACKER v1.3.5
MAIN PROMPT — W5-INPUTS-001
TASK IDENTITY
Week: Week 5
Tracker step: W5-01
Feature/outcome: AWS sandbox non-secret input approval
Business purpose: Establish the exact AWS account, region, networking, ownership, tagging, privacy, cost, encryption, GitHub OIDC and Bedrock boundaries before Terraform design or AWS activity begins.
Task type: Governed content and input-definition task
Primary required owner inputs: AWS-001, AWS-002, NET-001, TAG-001, COST-001, PRIV-001, KMS-001, GHA-001 and BED-001
Future inputs to identify but not prematurely approve: EKS-001, OBS-001 and SLO-001
Planned bounded outputs:
infra/environments/sandbox/terraform.tfvars.example
docs/cost-estimates/W5-inputs.md
Expected outcome: A complete, internally consistent, non-secret input contract ready for owner review. No Terraform implementation, validation, plan, apply, destroy or AWS access occurs.
Next approval position: Separate exact Column L Content Edit Approval after Gate 1 and all edit-blocking owner decisions are resolved.
INITIAL EXECUTION INSTRUCTION
When this Main Prompt is first invoked, perform Gate 1 only.
Gate 1 is read-only. Do not create, edit, delete, install, download, test, lint, format, build, initialize Terraform, validate Terraform, plan, apply, deploy, roll back, destroy, contact AWS, contact Bedrock/OpenSearch/EKS, contact GitHub, start Docker, change Excel or mutate Git. Do not stage, commit or push.
An open Excel process, workbook change or Office ~$ lock file is owner-controlled, excluded and non-blocking. Do not request an owner decision about it.
Never infer an owner value from a placeholder, historical status, implementation default, environment variable example, local AWS profile or prior command output. Never request, display or store an AWS access key, secret key, session token, password, private key, GitHub token, Bedrock credential or any other secret.
SOURCE PRECEDENCE AND GOVERNING AUTHORITY
Apply the repository's approved source precedence exactly:
Enterprise AI Architecture Source of Truth v1.1.
Approved ADRs and owner decision records.
Coaching and learning records.
Owner-approved TRACKER v1.3.5.
Approved feature requirements, configuration and implementation evidence.
Use the current repository contents, owner-approved evidence and final closure records to establish implementation facts. Tracker cells that predate later final approval are historical planning facts, not authority to reopen completed work or claim a missing control is complete.
Report every conflict. Do not silently reconcile it.
CURRENT OWNER-SUPPLIED IMPLEMENTATION AND TEST CONTEXT
Gate 1 must verify these facts against the current repository before relying on them. If a referenced record is absent, changed or contradictory, report it rather than inventing a replacement.
Week 1
The repository, typed configuration, health boundary, test foundation, controlled CLI, approval boundaries, reversibility controls, tags and foundational ADRs were implemented and owner-approved through their recorded workflows.
TAG-001 previously recorded these values:
Owner = Gyan-Prakash-Rai
CostCenter = Personal-Learning
Repository = enterprise-ai-platform
ExpiresAt = 2026-09-27T23:59:59Z
These tag values must be presented for owner reconfirmation. Their historical approval does not automatically extend the expiry date.
AWS-002 historically approved an AWS-first architecture boundary, but it did not conclusively approve the exact Week 5 AWS region, current Bedrock model availability, OpenSearch availability, quotas or deployment-time service access. Those remain W5-INPUTS-001 decisions.
W1-08 / SEC-003 must not be treated as complete merely because the tracker says Done/PASS. The owner has established that the canonical pre-commit control remains pending until repository-wide formatting, reviewed secret findings, the all-files hook run, synthetic-secret rejection, evidence and final closure pass.
The current W1-08 remediation is a separate controlled task. It does not authorize W5 editing and must not be folded into this two-file content boundary.
Week 2
Provider-neutral models, embedding, ingestion, retrieval, tenant/classification/ACL authorization, fake/local Qdrant behavior and OpenSearch adapter boundaries were implemented and owner-tested through approved local workflows.
Week 2 established the local/provider-neutral contracts needed by later RAG consumers.
Live AWS OpenSearch, production identity, production data, cloud deployment and production performance remain unproven unless a newer exact owner record says otherwise.
No Week 2 local or fake PASS may be converted into AWS service-availability approval for Week 5.
Week 3
Cited RAG, deterministic evaluation, guardrails and RAG configuration rollback were implemented, owner-tested, documented and final-approved.
The protected W3-002 immutable evaluation baseline exists and future Gate 1 inspection must verify its exact identity rather than regenerate or modify it.
The recorded Week 3 closure included the ordinary-suite progression ending at 465 passed, with accepted skips/deselections/warnings as recorded in its evidence.
Live Bedrock/model evaluation, external judge execution, production performance and cloud deployment remained NOT RUN. Therefore BED-001 still requires exact Week 5 owner values and deployment-time verification.
Week 4
The API and authorization boundary, bounded agent workflow, human approval, budgets, redacted durable state, vendor-neutral telemetry, negative-path tests, bounded local load test and immutable release rollback were implemented and owner-tested.
W4-001, W4-002, W4-003, W4-09, W4-10 and W4-ROLLBACK-001/W4-004 closure facts must be read from their final-approved evidence rather than the tracker's stale Not Started cells.
The latest reported Week 4 full ordinary suite passed with 724 passed, 7 skipped and 4 deselected.
Release rollback restored the known-good local version and passed its smoke and zero-residue checks, as recorded in the approved W4 rollback evidence.
The accepted Starlette/httpx deprecation warning remains a warning, not a failure and not a production-readiness claim.
Week 4 testing was local and deterministic. Live identity, live model/vector services, collector runtime, cloud deployment, production capacity, operational rollback and infrastructure teardown remained NOT RUN unless a later exact owner record proves otherwise.
W4 checkpoint/sign-off and learning records were subsequently completed and owner-approved. Gate 1 must verify their current exact paths and content. The tracker cells that still show W4-12 or W4-13 as Not Started are stale and must not block W5-INPUTS-001 if current final-approved records prove closure.
AUTHORITATIVE W5-01 BUSINESS CONTRACT
W5-01 confirms the sandbox account, region, network, tags, data residency and budget ceiling before Terraform design.
Business reason: Terraform cannot be safely reviewed when account ownership, network ownership, deletion boundaries, privacy rules or cost limits are ambiguous.
Acceptance requires:
Every required value is either explicitly owner-approved or clearly labelled unresolved.
No unresolved code-blocking value is disguised as an approved default.
No credential or secret is requested, stored or displayed.
Shared and project-owned resources are distinguishable.
Terraform destruction authority is explicitly bounded.
Cost, residency, KMS, GitHub OIDC and Bedrock decisions have an identified owner and verification point.
The two approved files agree exactly.
Terraform and AWS activity remain prohibited.
Dependency: current final-approved W4 checkpoint and Week 4 learning closure, corresponding to tracker dependency W4-13.
Downstream consumers include W5-02 through the remaining Week 5 Terraform, policy, identity, plan, supply-chain, rollback and teardown steps, plus W5-13 and Week 6 deployment preparation. Gate 1 must identify the exact current tracker dependencies rather than infer new ones.
INCLUDED SCOPE
W5-INPUTS-001 captures and reconciles the following non-secret decisions.
1. AWS account and execution boundary — AWS-001
Twelve-digit sandbox account ID as a non-secret value.
Human-readable account purpose and owner.
Confirmation that it is a sandbox/learning account, not production.
Approved identity mechanism for later owner execution.
Explicit prohibition on access keys, secret keys or session tokens in either output file.
The future Terraform and AWS commands remain owner-executed under later approvals.
2. Region and service availability — AWS-002
Exact primary AWS region.
Allowed fallback region, or None.
Data-residency compatibility.
Deployment-time availability checks required for Bedrock, OpenSearch, EKS, KMS, S3, DynamoDB and other planned services.
Clear separation between an architecture preference and proven account-level service access/quota.
3. Network ownership and connectivity — NET-001
existing_shared or project_owned network mode.
VPC ID and private subnet IDs when using an existing network.
Proposed VPC and subnet CIDRs only when the project will own them.
DNS requirements.
Approved egress model.
Required VPC endpoints/private service connections.
Whether NAT Gateway cost is permitted.
Public ingress and public subnet policy.
Shared-resource destruction prohibition.
Network owner and escalation contact/role, without personal secrets.
4. Mandatory tags and expiry — TAG-001
Owner.
CostCenter.
Repository.
ExpiresAt in ISO-8601 UTC form.
Environment and Project tags if required by existing policy.
Reconfirmation or replacement of the historical approved values.
Expiry follow-up owner and extension rule.
5. Cost controls — COST-001
Monthly sandbox ceiling in USD.
Daily cost-alert threshold in USD.
Maximum paid model/evaluation spend in USD.
Budget notification destination/owner.
Cost-bearing service approvals, including NAT Gateway, EKS, OpenSearch and Bedrock.
Stop-work or teardown trigger when a threshold is reached.
Explicit statement that local CPU, disk, bandwidth and owner time are not automatically USD 0.
6. Privacy and data residency — PRIV-001
Allowed AWS regions.
Prohibited regions.
Permitted data classifications.
Whether PII or production data is prohibited in the sandbox.
Third-party/model-provider processing restrictions.
Retention and deletion expectations for sandbox data, logs, traces and evidence.
Cross-border processing restrictions, if any.
Owner of later privacy confirmation.
7. KMS lifecycle — KMS-001
KMS deletion window from 7 to 30 days.
KMS follow-up owner.
Whether a customer-managed key is required.
Alias/name convention.
The accepted lifecycle fact that PendingDeletion may be the only approved residual after teardown, subject to exact owner policy and later evidence.
8. GitHub and OIDC naming — GHA-001
GitHub organization/user namespace.
Repository name.
Protected environment name.
OIDC provider/role naming convention.
Allowed branch or ref boundary.
Future plan/apply approval boundary.
No token, secret or credential value.
9. Bedrock boundary — BED-001
Exact approved Bedrock model ID.
Region.
Model access status: approved, pending verification or unavailable.
Quota/concurrency expectation.
Maximum token and spend boundary inherited from approved application controls.
Fallback policy: explicit model, safe abstention/disablement or None.
Prohibition on silently switching to an external provider.
Live invocation remains NOT RUN.
10. Future Week 5/6 inputs
Identify without prematurely approving:
EKS-001: existing/new cluster, namespace, domain/certificate and workload identity.
OBS-001: operational alert destination, on-call owner and production telemetry retention. The implemented local OpenTelemetry boundary does not supply these deployment values.
SLO-001: production/pre-production SLIs, SLOs, exclusions and error-budget review cadence. Local performance evidence is not a production SLO.
EXCLUDED SCOPE
Terraform modules, providers, backends, resources, outputs, state or executable variable declarations beyond the exact non-secret example file.
terraform init, fmt, validate, plan, apply, destroy, import, state manipulation or provider download.
AWS CLI/SDK/API calls, caller-identity checks, service-quota checks or resource discovery.
GitHub API/workflow changes, OIDC creation or repository/environment mutation.
Docker, Kubernetes, EKS, Qdrant, OpenSearch, Bedrock, collector or model execution.
Application code, schemas, automated tests, dependencies, Makefile, feature matrix, CI workflows, documentation indexes, evidence files and Excel tracker changes.
Credential creation, inspection, storage or transmission.
Deployment, rollback, teardown or cloud-resource cleanup.
Git staging, commit or push.
W1-08/SEC-003 remediation.
PROPOSED TWO-FILE CONTENT CONTRACT
The following is a proposal for Gate 1 reconciliation, not authority to write it unchanged.
infra/environments/sandbox/terraform.tfvars.example
This file is IaC-adjacent non-secret configuration content. It is not a Terraform resource implementation and grants no execution authority.
Gate 1 must determine whether downstream variable names already exist. If they do not, label these names PROPOSED and ask the owner to approve them before Column L:
aws_account_id
aws_region
aws_fallback_region
network_ownership_mode
vpc_id
private_subnet_ids
vpc_cidr
private_subnet_cidrs
dns_domain
egress_mode
vpc_endpoint_services
allow_public_ingress
allow_nat_gateway
mandatory_tags
allowed_data_regions
permitted_data_classifications
monthly_budget_usd
daily_budget_alert_usd
max_paid_evaluation_usd
kms_deletion_window_days
kms_follow_up_owner
github_organization
github_repository
github_environment
github_oidc_role_name
github_allowed_ref
bedrock_model_id
bedrock_region
bedrock_access_status
bedrock_fallback_policy
Rules:
Use explicit TODO_OWNER placeholders only for unresolved values.
A placeholder must never be described as approved.
Use empty lists or null only when the owner explicitly selects that semantic meaning; do not use them to hide a missing decision.
Account IDs and resource identifiers are non-secret but must still be minimized and handled as owner-controlled configuration.
No credential-like field may exist.
The file must contain a conspicuous no-secrets warning.
Shared identifiers must be paired with a prohibition on Terraform ownership/destruction in the decision record.
docs/cost-estimates/W5-inputs.md
This is the authoritative business-readable owner decision record for W5-01. It should contain:
Purpose and business value.
Governing authority and source precedence.
Week 1–4 prerequisite reconciliation.
Scope and explicit exclusions.
Account and identity boundary.
Region and service-availability decision.
Network topology, ownership and destruction boundary.
Mandatory tags and expiry.
Privacy, classification and residency.
Monthly/daily/paid-evaluation cost ceilings and stop conditions.
KMS lifecycle and permitted residual.
GitHub OIDC naming and future approval boundary.
Bedrock model/quota/fallback status.
Future EKS/observability/SLO inputs.
Exact reconciliation with terraform.tfvars.example.
Risks, assumptions, warnings and unresolved decisions.
Deployment, rollback, teardown and residual-resource status: all NOT RUN/no cloud resource created for this task.
Owner review checklist.
Status: READY FOR OWNER REVIEW, not approved.
A future Final Owner Approval section reserved for Column N; no reviewer, decision or date may be invented.
GATE 1 — REQUIRED READ-ONLY REVIEW
1. Repository and baseline
Report:
Exact repository root, full HEAD, branch and complete status classification.
Current existence/classification of both target paths.
Current contents if either target exists.
Exact direct references to either target.
Current W4 checkpoint, sign-off, learning and rollback evidence paths.
Current W1-08/SEC-003 status and whether it has any explicit governing dependency on W5-01.
Protected baselines and approved evidence relevant to W5 inputs.
Owner-controlled documentation/workbook changes as excluded and non-blocking.
Do not require a clean working tree when all existing changes are owner-controlled, enumerated, preserved and outside the two-file boundary. Any unexpected application, infrastructure or target-path drift must block.
2. Prerequisite and status reconciliation
Reconcile:
Tracker W4-12 and W4-13 statuses against current final-approved W4 records.
Tracker Week 4 Not Started test rows against current final-approved evidence.
Tracker W1-08 / SEC-003 Done/PASS claims against the current pending remediation facts.
Tracker AWS-002 Done status against the still-required exact region/service-access decision.
Tracker TAG-001 Done values against current owner intent and expiry.
APP-001, RET-001 and OBS-001 planning statuses against implemented local boundaries and still-unresolved deployment values.
Do not edit the tracker. State which differences affect W5-INPUTS-001 and which are historical only.
3. Authority and reference matrix
For every proposed fact or field, list:
Owner input ID.
Governing source/ADR/decision/evidence.
Historical value, if any.
Current proposed value.
Approval status: approved, owner confirmation required, unknown or deferred.
Target file and section/key.
Direct downstream consumers.
Security/privacy/cost consequence.
Whether absence blocks Column L or only a later Terraform/cloud step.
At minimum inspect relevant current ADRs for provider boundaries, authorization, Terraform roots, saved-plan approval, manual mutations, reversibility, cleanup verification, KMS deletion, EKS target and release gates.
4. Exact path impact manifest
Return exact repository-relative paths under:
CREATE.
UPDATE.
DELETE.
VERIFIED UNCHANGED CONSUMERS.
DEFERRED.
EXCLUDED.
The intended editable maximum is the two target paths only. If either exists, classify it from current facts rather than forcing CREATE. Do not automatically broaden the boundary to variables.tf, Terraform modules, tags configuration, ADRs, evidence, indexes, tests, Makefile, feature matrix or tracker.
If a necessary third path is discovered, stop at Gate 1 and request an explicit boundary decision.
5. Schema and consistency analysis
Propose the exact key names, types, required/optional rules, ordering and placeholder semantics for terraform.tfvars.example.
Validate:
Account ID format without treating it as a credential.
AWS region syntax and allowed-region list.
Network mode enum.
IDs/CIDRs/subnet list structure.
ISO-8601 UTC expiry.
Numeric non-negative budget values and threshold relationships.
KMS deletion window 7–30 days.
GitHub/repository/environment/ref naming.
Bedrock model/access/fallback status enums.
Tag keys and non-empty values.
Exact agreement between both files.
Define rejection behavior for missing, malformed, duplicated, contradictory, expired, secret-bearing or unsupported values. This is owner content review, not an automated-test design or execution task.
6. Security, privacy and ownership review
Confirm:
No secret field/value is requested.
No AWS/GitHub/local profile is inspected.
Identity is planned as short-lived/federated.
Shared networking and later shared EKS resources are non-destroyable by this project.
Public exposure defaults to prohibited unless explicitly approved.
Data classifications and residency are explicit.
Bedrock/provider fallback cannot silently cross the approved provider/residency boundary.
Evidence and documents contain no raw credential, protected content or unnecessary PII.
7. Cost and lifecycle review
Explain:
Which future services can incur idle or request-based cost.
Monthly, daily and paid-evaluation ceiling relationships.
Who receives alerts and who stops work.
The difference between planning a budget and proving actual AWS Budgets configuration.
Why this task creates no AWS cost or cloud resource.
Why local owner time, disk and bandwidth are not automatically recorded as USD 0.
Future rollback, destroy and residue boundaries.
KMS PendingDeletion lifecycle and follow-up ownership.
8. Owner content-review guide
Provide a non-executable review order:
Confirm governing authority and completed Week 4 prerequisite.
Review account and region.
Review network ownership and destruction boundary.
Review tags and expiry.
Review privacy/residency.
Review cost ceilings and stop conditions.
Review KMS lifecycle.
Review GitHub OIDC names.
Review Bedrock status/fallback.
Compare every Markdown fact with the corresponding Terraform-example key.
Confirm no credential/secret value exists.
Confirm all unresolved values remain clearly unresolved.
For each stage state the expected content, risk and stop condition. Do not provide Terraform, AWS, GitHub, Docker, deployment or test commands.
9. Failure, correction, rollback and closure
Missing or conflicting owner inputs stop Column L.
A changed target or governing authority returns BLOCKED — BASELINE CHANGED — W5-INPUTS-001.
A possible secret returns BLOCKED — POSSIBLE SECRET IN INPUT — W5-INPUTS-001. without reproducing it.
An incomplete W4 prerequisite returns BLOCKED — W4 PREREQUISITE NOT PROVEN — W5-INPUTS-001.
An inaccurate content draft is corrected only through a new bounded content approval.
Rollback before commit is removal of new uncommitted files or restoration of prior target contents by the owner under an approved boundary.
No cloud rollback or teardown exists because no cloud resource is created.
Column M and Column N must preserve all unresolved, NOT RUN and deferred facts.
10. Consolidated owner decisions
Ask once for every unresolved input. Use a table containing exact decision, recommendation, alternative/trade-off and gate impact.
At minimum include:
Current repository and governing baseline acceptance.
Confirmation that current W4 checkpoint and learning closure satisfy W4-13.
Whether pending W1-08/SEC-003 may proceed in parallel with this document-only task and whether it must close before W5-02 code approval.
Exact sandbox account ID and account purpose/owner.
Exact primary and fallback AWS regions.
Service-access status and later verification owner.
Network ownership mode.
Existing VPC/subnet IDs or proposed owned CIDRs.
DNS, ingress, egress, NAT and endpoint policy.
Explicit shared-resource destroy prohibition.
Mandatory tag values and expiry reconfirmation/replacement.
Permitted data classes, PII policy and allowed/prohibited regions.
Third-party/provider processing restrictions and retention/deletion expectations.
Monthly ceiling, daily alert and maximum paid-evaluation spend.
Cost-alert destination/owner and stop-work trigger.
KMS key type, deletion window and follow-up owner.
GitHub organization/repository/environment/OIDC role/ref naming.
Bedrock model ID, region, access status, quota and fallback.
Exact Terraform-example key names and ordering.
Whether future EKS-001, OBS-001 and SLO-001 remain deferred as proposed.
Exact two-file CREATE/UPDATE classification after preflight.
Confirmation that the output is an input/decision record—not Terraform approval, AWS-access approval, deployment evidence or production-readiness evidence.
GATE 1 RESPONSE REQUIREMENTS
Return:
Business outcome and measurable acceptance.
Governing baseline and Week 1–4 reconciliation.
Input authority and downstream-consumer matrix.
Exact proposed two-file content/schema contract.
Exact CREATE/UPDATE/DELETE/VERIFIED UNCHANGED/DEFERRED/EXCLUDED manifest.
Security, privacy, cost, ownership and lifecycle analysis.
Owner content-review guide with no commands.
Failure, correction, rollback and closure boundary.
Consolidated owner decisions.
Differences between this revised prompt and the existing tracker prompt.
Do not provide Column L until every edit-blocking decision is resolved and the target paths plus direct references are re-read.
COLUMN L POSITION — LATER SEPARATE APPROVAL
Column L will be a separate exact Content Edit Approval. It may authorize only the current classifications of:
infra/environments/sandbox/terraform.tfvars.example
docs/cost-estimates/W5-inputs.md
Column L must bind to the current repository baseline, exact owner decisions, exact key schema, exact target sections and complete unchanged/deferred/excluded manifest.
Column L must not authorize command execution, automated tests, Terraform, AWS access, GitHub mutation, documentation outside the two-file manifest, Excel or Git mutation.
The bounded edit must leave the decision record at READY FOR OWNER REVIEW. It must not invent final approval.
CONTENT REVIEW, COLUMN M AND COLUMN N
This task uses owner content review rather than TEST-001 command execution.
After Column L:
Codex returns the exact changed-path manifest and explains the fields and decisions.
The owner reviews the two files for accuracy, completeness, secrecy, cost, residency, ownership and internal consistency.
No Terraform or AWS command is required or permitted to approve the content record.
Column M must be reconciled with Column L classifications. If Column L created the two files, Column M must not falsely classify the same creation event again. It may authorize exact UPDATEs required to record owner review facts, or list a file VERIFIED UNCHANGED when no content change is required. Every Column M document must then be included in Column N.
Column N must record owner-supplied reviewer, role, exact decision, timestamp/timezone, accepted risks, unresolved values, limitations, deferrals, NOT RUN activities, lifecycle facts and conditions in every Column M document. Only after complete reconciliation may the owner update the tracker.
LEARNING HANDOFF
At the end of the approved content edit, explain:
Business summary.
Technical importance.
Layman analogy: a signed travel/building authorization before booking or construction.
Decision recap and alternatives.
Security/privacy/cost implications.
Failure and correction story.
Five interview questions with answer points.
Do not claim that Terraform, AWS, GitHub OIDC, Bedrock, OpenSearch, EKS, monitoring, deployment, rollback or teardown was implemented or tested by W5-INPUTS-001.
REQUIRED ENDING
If Gate 1 succeeds, end exactly:
READY FOR PRE-EDIT REVIEW — W5-INPUTS-001.
If required authority or owner input is missing, end exactly:
BLOCKED — REQUIRED OWNER INPUT MISSING — W5-INPUTS-001.
If the repository or governing baseline has materially changed, end exactly:
BLOCKED — BASELINE CHANGED — W5-INPUTS-001.</t>
  </si>
  <si>
    <t>READY FOR PRE-EDIT REVIEW — W5-INPUTS-001</t>
  </si>
  <si>
    <t>COLUMN L — COMPLETE BOUNDED CONTENT EDIT APPROVAL — W5-INPUTS-001
OWNER AUTHORIZATION
I approve the bounded W5-INPUTS-001 content edit for tracker step W5-01.
Use the complete owner-supplied and accepted D1–D22 decision set already recorded in this thread. This approval does not authorize Codex to infer, replace, normalize or supplement any owner value.
Where earlier recommendations conflict with a later owner decision, the latest owner decision governs.
FINAL D5 RECONCILIATION
The following values are approved and supersede the earlier Singapore-only processing recommendation:
- Primary Region: ap-southeast-1
- Fallback Region: null
- Allowed data-region policy: Global Cross-Region
- Cross-region processing: allowed
- Silent model substitution: prohibited
- Silent provider substitution: prohibited
- Silent application-region or fallback-region substitution: prohibited
- Account access, service availability and quota verification status: pending_verification
“Global Cross-Region” is an owner-approved policy label. Do not invent, enumerate or approve concrete destination AWS Regions. Bedrock controls destination selection within its Global inference profile.
D12 AND D18 ALIGNMENT
Preserve the exact accepted privacy, classification and Bedrock decisions, including:
- AWS client and primary Region: ap-southeast-1
- Application fallback Region: null
- Bedrock inference-profile ID: global.amazon.nova-2-lite-v1:0
- Underlying model identity: amazon.nova-2-lite-v1:0
- Inference mode: Global Cross-Region
- Model lifecycle status: Active, subject to Gate 2 source revalidation
- Bedrock access status: pending_verification
- AWS quota status: pending_verification
- Automatic model/provider fallback: none
- Maximum RAG output: 512 tokens
- Existing application concurrency, timeout and retry ceilings remain unchanged
- Only owner-approved synthetic, non-production data classifications may be used
- Credentials, PII, restricted data, production data and real tenant content are prohibited
- No live invocation, access verification, quota verification or cost-bearing activity is authorized by this Column L approval
If the accepted D19 schema uses a dedicated data-region-policy field, serialize the exact approved policy label there.
Do not place “Global Cross-Region” into a field whose approved validator requires an AWS Region identifier. If the final D19 record does not define an unambiguous serialization for this policy, edit nothing and return:
BLOCKED — OWNER INPUT SCHEMA CONFLICT — W5-INPUTS-001.
BUSINESS PURPOSE
Create the approved non-secret contract between the sandbox owner and later Terraform design.
The two outputs must clearly define:
- AWS account and human-access boundary
- Primary and fallback Region decisions
- Network ownership and destruction boundary
- Private networking and egress policy
- Mandatory tags and expiry controls
- Data classification, residency and processing policy
- Budget ceilings, alerts and stop-work authority
- KMS lifecycle and residual-resource ownership
- GitHub OIDC identifiers and trust boundary
- Exact Bedrock model/inference-profile decision
- Pending service-access and quota verification
- Deferred EKS, observability and SLO decisions
These files are inputs to later infrastructure design. They are not Terraform implementation, AWS access, deployment approval or production-readiness evidence.
GOVERNING BASELINE
Gate 1 recorded:
- Repository: E:\AI\enterprise_ai_platform
- Branch: main
- Reviewed HEAD: 0bc402ecf241121bb82e27c029b1d84ca76a7ca7
- Both CREATE targets: absent
- UPDATE targets: none
- DELETE targets: none
- Protected W3-002 baseline SHA-256:
  4bbc8f24af911ba09356196e9285d261549926c713110f9549929e1e4ac9086f
- Source of Truth SHA-256:
  D4CE5C6D2CBBA3704E8F7F385EDEB16573CF21E009B1BF7E87914BACE03FB04F
- Owner Decision Compendium SHA-256:
  D738D4D9760930BF19CB8325AA66F963B2729EF999D24D75977698209DB1D216
- Tracker SHA-256:
  C4DFF3E2E87DBFC08782E30FF7CD9295A4B0D51EA3B613C268B765DEFF3A7153
Immediately before editing, revalidate HEAD, branch, tracked status, target existence, governing documents and the complete accepted D1–D22 record.
Excel being open and an associated ~$ lock file are non-blocking, owner-controlled and excluded. An uncommitted owner workbook change is not a new owner decision and must not be modified.
If HEAD, authority, target classification, protected hashes or owner decisions have materially changed, edit nothing and return:
BLOCKED — BASELINE CHANGED — W5-INPUTS-001.
EXACT APPROVED PATH MANIFEST
CREATE — exactly 2:
- infra/environments/sandbox/terraform.tfvars.example
- docs/cost-estimates/W5-inputs.md
UPDATE — exactly 0:
- None
DELETE — exactly 0:
- None
VERIFIED UNCHANGED CONSUMERS
- docs/governance/Enterprise_AI_Architecture_6_Week_Execution_Tracker_v1.3.5.xlsx
- docs/governance/Enterprise_AI_Architecture_Source_of_Truth_v1.1.docx
- docs/governance/Owner_Decision_Compendium_Weeks_1_to_4.docx
- docs/adr/ADR-000-source-precedence.md
- docs/adr/ADR-002-provider-boundaries.md
- docs/adr/ADR-003-vector-stores.md
- docs/adr/ADR-004-bedrock.md
- docs/adr/ADR-006-authorization.md
- docs/adr/ADR-008-otel.md
- docs/adr/ADR-009-terraform-roots.md
- docs/adr/ADR-010-saved-plan.md
- docs/adr/ADR-011-manual-mutations.md
- docs/adr/ADR-012-reversibility.md
- docs/adr/ADR-013-cleanup-verification.md
- docs/adr/ADR-014-kms-deletion.md
- docs/adr/ADR-016-feature-cycle.md
- docs/adr/ADR-017-release-gates.md
- docs/deployment-records/W4-signoff.md
- docs/learning/W4-learning-review.md
- docs/rollback-records/W4-release.md
- docs/deployment-records/W1-signoff.md
- docs/test-evidence/W1-08-precommit.txt
- docs/architecture/data-classification.md
- docs/architecture/retention.md
- docs/cost-estimates/budget.md
- configs/pii-policy.yaml
- configs/eval/baselines/w3-002-v1.json
- configs/eval/golden.jsonl
- feature-matrix.yaml
- .env.example
- tools/platformctl/contracts.py
- src/enterprise_ai_platform/config.py
- src/enterprise_ai_platform/llm/factory.py
- infra/environments/sandbox/main.tf
- infra/environments/sandbox/versions.tf
DEFERRED
- infra/environments/sandbox/variables.tf
- configs/tags.yaml
- docs/architecture/privacy.md
- docs/architecture/slo.md
- deploy/k8s/values-sandbox.yaml
- docs/adr/ADR-015-eks.md
- EKS-001 implementation inputs
- OBS-001 production observability inputs
- SLO-001 production reliability targets
- Terraform modules, providers, backend and policy implementation
- GitHub Actions workflow implementation
- AWS access and service-availability verification
- Bedrock access, quota and live-model verification
- Terraform initialization, validation, planning, application and destruction
- Deployment, rollback, teardown and evidence closure
EXCLUDED
Every repository path not listed under CREATE.
In particular, do not modify:
- Application code
- Terraform executable declarations or modules
- Tests
- Dependencies
- Feature matrix
- ADRs
- Existing evidence
- Tracker workbooks
- Git metadata
- Runtime or cache paths
AUTHORIZED CONTENT
1. Create terraform.tfvars.example using the exact owner-approved D19 key names, ordering, types and values.
2. Create W5-inputs.md in business-first language containing:
   - Purpose and business value
   - Governing authority
   - Week 1–4 prerequisite reconciliation
   - Scope and exclusions
   - AWS account and identity boundary
   - Primary Region and fallback decision
   - Global Cross-Region Bedrock-processing approval
   - Network ownership, topology and destruction boundary
   - Mandatory tags and expiry policy
   - Privacy, classification, retention and deletion policy
   - Budget ceilings, alert destination and stop-work authority
   - KMS lifecycle and follow-up ownership
   - GitHub OIDC naming and trust boundary
   - Nova 2 Lite model and inference-profile identity
   - Access and quota status as pending_verification
   - Deferred EKS, observability and SLO inputs
   - Risks, assumptions, warnings and limitations
   - Deployment, rollback and teardown as NOT RUN
   - Owner review checklist
   - Status READY FOR OWNER REVIEW
   - Reserved Final Owner Approval section with no invented approval
3. Reproduce every shared decision identically in both files.
4. Preserve account IDs and other approved non-secret identifiers exactly, but never add credentials, access keys, tokens, role sessions, secrets or live authentication material.
5. Use TODO_OWNER only for an item explicitly approved as unresolved and deferred. Do not use it for any decision the owner has supplied.
6. Do not present pending_verification as approved service access or quota evidence.
VALIDATION BEFORE COMPLETION
Read both created files and confirm:
- Exactly two approved paths were created.
- No other path changed.
- Both files contain the complete accepted owner decisions.
- Shared values match exactly.
- The Global Cross-Region policy is recorded without invented destination Regions.
- The model invocation value is global.amazon.nova-2-lite-v1:0.
- No silent fallback is described.
- No credential-like field or value exists.
- No unresolved value is described as approved.
- No Terraform or AWS action is claimed.
- Deployment, rollback and teardown remain NOT RUN.
- The documents remain READY FOR OWNER REVIEW.
- No reviewer name, final decision or approval timestamp is invented.
If possible secret material is encountered, do not reproduce it. Edit nothing further and return:
BLOCKED — POSSIBLE SECRET IN INPUT — W5-INPUTS-001.
PROHIBITED ACTIONS
Do not:
- Run Terraform
- Access AWS or Bedrock
- Invoke a model
- Verify quotas through AWS
- Install or download anything
- Run tests, lint, formatting or builds
- Create infrastructure
- Create or modify GitHub OIDC resources
- Deploy, roll back or tear down anything
- Edit Excel
- Stage, commit or push
- Write Column M or Column N documentation
- Modify any path outside the two CREATE targets
MANDATORY COMPLETION RESPONSE
Return:
1. Exact CREATE/UPDATE/DELETE counts.
2. One row per created file with its purpose.
3. Confirmation that both files contain matching owner decisions.
4. Confirmation that no credential or secret was written.
5. Confirmation that no AWS, Bedrock, Terraform, network or paid activity occurred.
6. Risks, limitations, pending_verification facts and deferred inputs.
7. Complete post-edit path-boundary status.
8. The next required owner content-review action.
End exactly:
CONTENT READY FOR OWNER REVIEW — W5-INPUTS-001.</t>
  </si>
  <si>
    <t>COLUMN M — EXACT DOCUMENT RECONCILIATION APPROVAL — W5-INPUTS-001
PURPOSE
This is the separate Column M approval following the completed W5-INPUTS-001 Column L content edit.
The two approved files already exist because they were created under Column L. Do not attempt to create replacement files or classify them as unexpected existing targets.
Their lifecycle classification remains CREATE relative to the approved pre-Column-L repository baseline.
TASK IDENTITY
- Prompt ID: W5-INPUTS-001
- Tracker step: W5-01
- Task type: Business-input and configuration-contract documentation
- Column L result: CONTENT READY FOR OWNER REVIEW
- Column L manifest: 2 CREATE, 0 UPDATE, 0 DELETE
- Automated testing: NOT RUN and not required for this content task
- AWS/Terraform execution: NOT RUN
- Final owner approval: Pending Column N
EXACT COLUMN M DOCUMENT MANIFEST BOUNDARY
CREATE — exactly 2, already created under Column L:
1. infra/environments/sandbox/terraform.tfvars.example
2. docs/cost-estimates/W5-inputs.md
UPDATE — exactly 0 relative to the approved baseline:
- None
DELETE — exactly 0:
- None
VERIFIED UNCHANGED:
- No additional documentation path is required.
- Existing governing documents and repository consumers must remain unchanged.
EXCLUDED
Every repository path not listed under CREATE is excluded, including:
- docs/test-evidence/README.md
- Application code
- Automated tests
- Terraform variable declarations, modules, providers and backends
- Feature matrix
- ADRs
- Existing evidence and learning records
- Dependency files
- GitHub Actions workflows
- Excel trackers
- Git metadata
- AWS, Bedrock and runtime configuration
- Cache, report and temporary paths
Excel being open and any associated ~$ lock file are owner-controlled, excluded and non-blocking.
COLUMN M PREFLIGHT
Before writing or reconciling documentation:
1. Read both exact Column L output files completely.
2. Confirm both remain CREATE paths relative to the approved pre-Column-L baseline.
3. Confirm no third W5-INPUTS-001 output has been created.
4. Confirm the Terraform example contains exactly 30 keys in the owner-approved D19 order.
5. Confirm the Markdown record reproduces every shared key and value exactly.
6. Confirm the revised D19 policy is represented consistently:
   allowed_data_regions = ["Global Cross-Region"]
7. Confirm aws_region is validated independently as:
   ap-southeast-1
8. Confirm aws_fallback_region is:
   null
9. Confirm the Bedrock identities are:
   - Underlying model: amazon.nova-2-lite-v1:0
   - Runtime inference profile: global.amazon.nova-2-lite-v1:0
   - Bedrock source/client Region: ap-southeast-1
   - Access status: pending_verification
   - Quota status: pending_verification
   - Silent model/provider/region substitution: prohibited
10. Confirm no concrete Global Cross-Region destination Region has been inferred or enumerated.
11. Confirm the files contain no credential, secret, access key, token, session value or credential-like field.
12. Confirm ExpiresAt = "TODO_OWNER" is the only approved unresolved value.
13. Confirm the unresolved ExpiresAt blocks later Terraform plan/apply but does not falsely invalidate the completed W5-01 decision-record creation.
14. Confirm no AWS, Terraform, Bedrock, GitHub, deployment, rollback, teardown or paid activity is claimed.
15. Confirm the current files still match the owner-reviewed Column L versions.
If a possible secret is detected, do not reproduce it, edit nothing and return exactly:
BLOCKED — POSSIBLE SECRET IN INPUT — W5-INPUTS-001.
If either file is missing, materially changed, contradictory, outside the approved boundary or cannot be reconciled, edit nothing and return exactly:
BLOCKED — COLUMN M DOCUMENTATION PREFLIGHT FAILED — W5-INPUTS-001.
OWNER-SUPPLIED COLUMN L FACTS TO PRESERVE
Record the following facts without upgrading or reinterpreting them:
- Two files were created.
- No existing repository file was updated or deleted.
- Both files use the same approved values and key ordering.
- The Terraform example contains exactly 30 non-secret keys.
- Global Cross-Region is a processing-policy label.
- aws_region is independently set to ap-southeast-1.
- The application fallback Region is null.
- No concrete Bedrock destination Region was approved.
- No credential, secret, token or credential-like field was written.
- Amazon Nova 2 Lite is the selected model.
- The runtime identifier is global.amazon.nova-2-lite-v1:0.
- Model lifecycle was recorded as Active from the owner-reviewed AWS source.
- Account access and quota remain pending_verification.
- ExpiresAt = "TODO_OWNER" remains unresolved.
- Network compatibility and endpoint implementation remain unverified.
- Budgets and alerts are documented decisions, not proof that AWS Budgets or notifications exist.
- EKS-001, OBS-001, SLO-001 and ADR-015 remain deferred.
- Terraform implementation and GitHub OIDC implementation remain deferred.
- No AWS account access occurred.
- No Bedrock invocation occurred.
- No Terraform command was run.
- No network, deployment, rollback, teardown or paid activity occurred.
- No automated test was run for this content-only task.
- Pre-existing workbook, Office-lock and .vscode changes remained owner-controlled and unchanged.
REQUIRED CONTENT — TERRAFORM EXAMPLE
Preserve the exact 30-key contract and owner-approved ordering.
Do not:
- Add a 31st key.
- Rename an approved key.
- Convert Global Cross-Region into an AWS Region list.
- Require aws_region membership in allowed_data_regions.
- Add credentials, profile names, access keys, tokens or secret placeholders.
- Replace TODO_OWNER with an invented expiry.
- Add executable Terraform resources, variables, providers or backend configuration.
Ensure the file contains a comment-only closure block titled:
# Final Owner Approval — W5-INPUTS-001
The block must remain pending and reserve fields for:
- Reviewer
- Reviewer role
- Decision
- Approval timestamp and timezone
- Accepted risks and limitations
- ExpiresAt condition
- NOT RUN activities
- Deferred work
- Deployment status
- Rollback status
- Teardown status
- Residual resources
- Tracker update responsibility
Comments must remain valid within a Terraform tfvars example and must not change any value.
REQUIRED CONTENT — BUSINESS DECISION RECORD
Ensure docs/cost-estimates/W5-inputs.md contains:
1. Business purpose and value.
2. Governing sources and precedence.
3. Approved account and identity boundary.
4. Primary and fallback Region decisions.
5. Global Cross-Region processing policy.
6. Network ownership and destruction boundary.
7. Private networking, ingress and egress decisions.
8. Mandatory tags and expiry rules.
9. Data classification, privacy, residency, retention and deletion.
10. Monthly, daily and evaluation-cost ceilings.
11. Budget-alert ownership and stop-work authority.
12. KMS type, alias, deletion window and follow-up ownership.
13. GitHub OIDC naming and trust boundary.
14. Bedrock model and inference-profile identity.
15. Application concurrency, output, retry and timeout ceilings.
16. Access, quota and service-availability status.
17. Risks, assumptions, warnings and limitations.
18. Deferred EKS, observability, SLO and cloud-lifecycle work.
19. Exact mirror of all 30 Terraform example values.
20. Owner review checklist.
21. Deployment, rollback, teardown and residual-resource facts.
22. Status: READY FOR OWNER REVIEW.
23. Reserved section titled:
## Final Owner Approval — W5-INPUTS-001
Do not populate the reserved section with an invented reviewer, decision or date. Mark all Column N fields as pending owner confirmation.
RESULT CLASSIFICATION
Record classifications exactly:
- Column L bounded content creation: PASS
- File-count reconciliation: PASS, if verified
- Cross-file value reconciliation: PASS, if verified
- Secret/credential exclusion review: PASS, if verified
- Automated tests: NOT RUN — not required for this content task
- Terraform validation/init/plan/apply/destroy: NOT RUN
- AWS access and service verification: NOT RUN
- Bedrock access and quota verification: NOT RUN
- Bedrock inference: NOT RUN
- GitHub OIDC implementation: NOT RUN
- Deployment: NOT RUN
- Operational rollback: NOT RUN
- Cloud teardown: NOT RUN
- Open FAIL: None, unless discovered during preflight
- Open INDETERMINATE: Preserve any fact that cannot be verified
- Final owner approval: Pending Column N
Do not convert pending_verification or NOT RUN into PASS.
RISKS, LIMITATIONS AND DEFERRALS
Preserve at least these limitations:
- Global Cross-Region processing does not guarantee processing within Singapore.
- Concrete Bedrock destination Regions are not fixed by this decision record.
- Only approved synthetic, non-production data may be used.
- PII, credentials, restricted data, production data and real tenant content are prohibited.
- Model access and account quotas are unverified.
- Network endpoints and compatibility are unverified.
- Documented budget limits do not prove an AWS budget or notification exists.
- ExpiresAt remains unresolved.
- The files do not create Terraform infrastructure or authorize cloud execution.
- No production, reliability, security, cost or deployment-readiness claim is established.
LIFECYCLE AND RESIDUAL RESOURCES
Record:
- Cloud resources created: None
- Deployment performed: No
- Runtime rollback performed: No
- Cloud teardown performed: No
- AWS/provider/network activity: None
- Provider/cloud cost: None incurred by this content task
- Repository residuals: The two approved CREATE files only
- Owner-controlled pre-existing files: Preserved unchanged
- Future rollback before commit: Owner-approved removal of the two CREATE files
- Future rollback after commit: Owner-controlled Git reversal under separate authorization
MANDATORY COLUMN M OUTPUT
Return:
COLUMN M APPROVED DOCUMENT MANIFEST — W5-INPUTS-001
The manifest must contain exactly two rows, one for each CREATE path, with:
- Exact path
- Classification
- Business purpose
- Configuration/document purpose
- Owner-supplied results
- PASS, FAIL, NOT RUN and INDETERMINATE facts
- Security and privacy findings
- Risks and accepted limitations
- Evidence gaps
- Deferred actions and owners
- Network/provider activity
- Cost
- Deployment status
- Rollback status
- Teardown status
- Residual resources
- ExpiresAt status
- Fields pending Column N
- Final Owner Approval section location
- Column N closure requirement
The complete two-row Column M manifest becomes the mandatory Column N scope.
COLUMN N HANDOVER
Column N must update and close both manifest files—not only W5-inputs.md.
The owner must later provide or confirm:
- Reviewer’s exact name
- Reviewer’s role
- Exact final decision
- Approval timestamp
- Timezone
- Acceptance of risks and limitations
- Acceptance of Global Cross-Region processing
- Acceptance of all NOT RUN and pending_verification facts
- Treatment and owner of ExpiresAt
- Deferred actions and owners
- Deployment, rollback and teardown facts
- Residual-resource facts
- Approval conditions, or None
- Tracker update responsibility
PROHIBITED
Do not:
- Modify any unlisted path.
- Create another evidence or README file.
- Edit Excel.
- Run tests or Terraform commands.
- Access AWS or Bedrock.
- Verify service quotas through a live account.
- Deploy, remediate, roll back or tear down infrastructure.
- Stage, commit or push.
- Invent owner approval facts.
- Begin W5-02.
End exactly:
DOCUMENTATION READY FOR OWNER REVIEW — W5-INPUTS-001.</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</si>
  <si>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</si>
  <si>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Terraform AWS sandbox modules and Bedrock owner verification</t>
  </si>
  <si>
    <t>Produce reviewable infrastructure and prove the approved Bedrock target before deployment without storing secret material.</t>
  </si>
  <si>
    <t>Approved W5 inputs; expected AWS account, source Region, model/profile IDs, quota codes, 39-case dataset/config and cost ceiling; no credentials</t>
  </si>
  <si>
    <t>Approved Terraform and verification code/config/test changes; owner-run redacted Bedrock result; test/deployment guide and learning summary</t>
  </si>
  <si>
    <t>FOUR APPROVAL GATES PLUS OWNER TESTING AND WEEKLY LEARNING — TRACKER v1.3.5
MAIN PROMPT — W5-001
TASK IDENTITY
Week: Week 5
Prompt ID: W5-001
Feature/outcome: Terraform AWS sandbox modules plus BED-001 owner verification
Covered tracker steps: W5-02, W5-03, W5-04 and W5-05
Business purpose: Produce reviewable, secure and reversible AWS infrastructure code and prove that the exact owner-approved Bedrock target is accessible, adequately quota-backed, safe, accurate and affordable before any Terraform apply or deployment approval.
Task type: bounded implementation followed by owner TEST-001
Next approval after Gate 1: a separate exact Column L Code Edit Approval
OWNER-CONTROLLED FIRST RESPONSE — GATE 1 ONLY
On first invocation, perform a complete read-only pre-edit review only. Inspect the current repository, tracker v1.3.5, approved decisions, configurations, tests and evidence. Do not create, edit or delete anything. Do not run tests, linters, formatters, validators, installers, Terraform, applications, services, Docker, network calls, AWS APIs, Bedrock, model calls, deployment, rollback or teardown. Do not edit Excel or mutate Git. An open Excel process, an Excel ~$ lock file and an owner-controlled uncommitted workbook are excluded and non-blocking.
Never infer an owner decision, current repository fact, AWS capability, quota, price, account access, processing Region or PASS result. Report conflicts instead of silently reconciling them.
SOURCE PRECEDENCE
Use this authority order:
Enterprise AI Architecture Source of Truth v1.1.
Owner-approved ADRs and exact owner decisions.
Coaching Blueprint and approved learning records.
Authoritative tracker v1.3.5.
Approved feature requirements, configuration and evidence.
Current repository implementation and tests for implementation facts.
Newer final-approved evidence supersedes stale planning text only for the fact it proves. Historical FAIL, NOT RUN, INDETERMINATE, warning and limitation records must remain visible.
RECONCILED STARTING CONTEXT — REVALIDATE, DO NOT ASSUME
Week 1 and Week 2 established the typed Python/configuration/test foundation, provider-neutral boundaries, deterministic fakes, embedding/retrieval contracts and local retrieval controls.
W1-08 and SEC-003 were last reported PENDING because .pre-commit-config.yaml, .secrets.baseline, completed hook output and synthetic-secret rejection evidence were absent. Gate 1 must verify their current state. If still open, they do not block this read-only review or bounded offline code/static tests, but they block live AWS/paid execution, Terraform plan/apply/deployment and final cloud-readiness approval unless the owner supplies a separately governed exception.
W3-001 through W3-004 established cited RAG, deterministic evaluation, guardrails and configuration rollback. The immutable W3-002 baseline SHA-256 was recorded as 4bbc8f24af911ba09356196e9285d261549926c713110f9549929e1e4ac9086f. Gate 1 must verify it. The canonical evaluation contains 39 ordered cases: 24 ANSWERED, 12 ABSTAINED and 3 ERROR.
W4-001 and W4-002 established the API/authentication and bounded agent/approval/state contracts. W4-003 added default-off, bounded, redacted local telemetry. W4-09 and W4-10 were later implemented and owner-tested; they must not be reverted to NOT RUN by stale text. W4 rollback testing later reported a full ordinary suite of 724 passed, 7 skipped and 4 deselected, with the existing Starlette/httpx warning accepted. Gate 1 must verify current code/evidence and preserve the latest classifications without rerunning anything.
W5-INPUTS-001 created infra/environments/sandbox/terraform.tfvars.example and docs/cost-estimates/W5-inputs.md as the non-secret input and decision contract. No AWS, Bedrock, Terraform, network, deployment or paid operation was thereby proven. Gate 1 must verify their current owner-review/Column N status and classify both as protected upstream inputs.
ExpiresAt = "TODO_OWNER" was the last reported unresolved W5 input. It does not block bounded W5-001 code creation or offline/static tests. It blocks Terraform plan/apply/deployment until replaced by an approved ISO-8601 value. Gate 1 must report any later approved value rather than assuming this placeholder remains current.
AWS account access, Bedrock access, quota, live quality/security, real latency and billing-confirmed cost remain pending until owner TEST-001 evidence proves them.
OWNER-APPROVED BEDROCK DIRECTION — REVALIDATE EXACTLY
Source/client AWS Region: ap-southeast-1
Underlying model ID: amazon.nova-2-lite-v1:0
Runtime target type: inference profile
Inference profile ID: global.amazon.nova-2-lite-v1:0
Fallback Region: null
Allowed data-region policy: ["Global Cross-Region"]
Cross-region processing: allowed
Silent model, provider, target or application-Region substitution: prohibited
Account access and quota status: pending_verification
Global Cross-Region is an owner-approved processing-policy label, not a concrete AWS Region. Validate aws_region independently. Do not require ap-southeast-1 to be a member of the policy-label array. Do not infer Bedrock destination Regions, fallback behavior or residency proof.
SCOPE BY TRACKER STEP
W5-02 — STATE BOOTSTRAP AND BEDROCK VERIFICATION
Implement an isolated bootstrap root for encrypted, versioned S3 Terraform state and Terraform 1.5 DynamoDB locking.
Document newer S3 lockfile capability without replacing the approved Terraform 1.5/DynamoDB design.
Implement the provider-neutral, fail-closed BED-001 owner-verification utility and strict non-secret input/report contracts.
W5-001 performs code construction and offline/static verification. A real bootstrap plan/apply and backend creation remain W5-004 owner actions. The remote backend cannot be treated as available until separately created and verified.
W5-03 — SECURITY FOUNDATION
Implement KMS, private/versioned S3 and Secrets Manager metadata-only modules.
Do not accept, create, serialize, output or place a secret value or secret version in Terraform, variables, state, tests, reports or logs.
Encryption, public-access blocking, deletion behavior, ownership, tags and cost controls must be explicit.
W5-04 — IAM
Implement least-privilege runtime, ingestion and GitHub OIDC roles using short-lived identity.
Bind trust to the exact approved repository/environment/workload identities found in W5 inputs.
Reject wildcard action/resource unless an exact owner-approved exception records owner, rationale, scope and expiry.
Do not create access keys or store credentials.
W5-05 — AWS RETRIEVAL AND IMAGE STORAGE
Implement private, encrypted OpenSearch and immutable/scanned ECR modules.
OpenSearch must use approved VPC/subnets/security groups, TLS, encryption at rest and node-to-node, access controls, audit/service logs where supported, deletion protection and bounded cost settings.
Resolve the fine-grained-access master identity without introducing a username/password or secret value. Ask the owner if the existing inputs do not establish the IAM identity.
W5-001 must not claim a real platform plan. The W5-05 saved plan, cost review and plan evidence remain NOT RUN until the W5-004 lifecycle gate.
EXCLUDED OR DEFERRED FROM W5-001 COLUMN L
W5-06 OPA/Rego policy-pack implementation and execution; this remains W5-003.
W5-07/W5-08 GitHub Actions implementation; this remains W5-002.
W5-09 onward: bootstrap apply, saved platform plan, policy/cost approval, deployment, rollback, teardown and orphan scan; these remain W5-004 and later lifecycle gates.
Application release, EKS deployment, Kubernetes manifests and production readiness.
Live Qdrant/OpenSearch data, production identity, live ingestion and production traffic.
CloudWatch/X-Ray/OTLP export, dashboards, alerts and production SLO claims.
Excel updates, narrative evidence/documentation writing, Git staging/commit/push and any path not later enumerated in Column L.
BED-001 VERIFICATION UTILITY — REQUIRED CONTRACT
Gate 1 must inspect current paths and consumers and propose the exact manifest. The intended new boundaries are:
tools/bedrock_owner_verify.py
configs/verification/bedrock-owner-test.json
tests/unit/test_bedrock_owner_verify.py
tests/security/test_bedrock_owner_verify_security.py
tests/teardown/test_bedrock_owner_verify_cleanliness.py
The owner-generated TEST-001 output is:
reports/verification/bedrock-owner-test-result.json
The report is not a Column L source/test-code CREATE path. Gate 1 must inspect whether any intended path already exists and reclassify it accurately rather than assuming CREATE.
Input contract:
Strict canonical JSON with a fixed field set and deterministic ordering/serialization.
Include only the approved expected AWS account, external profile/role reference, source Region, target type, exact model and inference-profile IDs, allowed policy label, fallback value, explicit Service Quotas codes or an owner-approved discovery treatment, canonical 39-case dataset/config paths, inference limits, pricing identity/source/date, cost ceiling and execute_paid_tests=false by default.
Reject credentials, access keys, secret tokens, session tokens, arbitrary endpoints, unknown/duplicate/missing fields, wrong types, non-finite values, unsafe paths and silent target/Region substitution.
AWS account ID verifies identity; it never authenticates. Credentials come only from the owner’s external Boto3 default chain, AWS SSO or approved assumed role.
Owner execution sequence:
Activate the approved external Python environment.
Confirm Python and required executables resolve from that environment’s Scripts directory.
Establish task-specific external cache locations and confirm no repository cache/state path will be used.
Validate the JSON without AWS access.
With separate owner network approval, call STS and require the exact account match.
Discover and verify the exact Bedrock model/inference-profile target in ap-southeast-1; prohibit substitution.
Query the exact approved Service Quotas codes/names and compare applied values with required limits. Never guess a quota.
Only after separate owner network and paid-use approval, run one synthetic, non-sensitive Converse smoke request against the exact profile.
Run the unchanged 39-case quality/security evaluation through the approved Bedrock/RAG boundary with fixed prompt, retrieval evidence/order, authorization, guardrails, token limit, sampling, deadline and retry policy.
Write one redacted, no-overwrite classified report; then verify and remove or explicitly retain task-specific caches/report according to owner policy.
The initial comparison must use no prompt caching, intelligent routing or automatic model switching. A target that does not support the required text Converse contract needs separate adapter approval; do not silently generalize.
Report contract:
Record schema/tool version, timestamp, input/config/dataset/baseline hashes, masked account-match result, source Region, target type, exact model/profile IDs, lifecycle/access result, quota codes/names/applied/required values, network/provider activity, smoke status, request metadata, token counts, quality/security metrics and gates, latency observation, estimated cost, billing-confirmed-cost status, substitutions, warnings, limitations, caches/report retention and residual resources.
Classify every check as PASS, FAIL, NOT RUN or INDETERMINATE. Preserve historical failures and successful reruns separately.
Never include raw prompts, answers, evidence, citations, retrieved text, tenant/subject IDs, credentials, environment values, provider envelopes, exception text, stack traces or chain-of-thought.
eligible_for_owner_approval=true is permitted only when identity, exact access/target, quota, smoke, all required quality/security gates and the cost ceiling pass with no substitution or leakage. The utility cannot approve itself.
Never modify, promote, replace or relabel configs/eval/baselines/w3-002-v1.json. Live W5 evidence is a separate candidate/result record.
The utility creates no AWS resource, adds no application/provider retry and stops safely on partial failure or cancellation.
TERRAFORM CONTRACT
Use separate bootstrap and sandbox/platform roots with explicit dependency and destroy ordering.
Constrain Terraform, providers and module interfaces. Gate 1 must inspect actual repository requirements before proposing exact versions.
Owner-controlled initialization may later create a provider lockfile. Do not invent or commit one before the owner has generated and reviewed its exact checksums under separate approval.
Use external TF_DATA_DIR, plugin/cache and temporary-plan locations. Repository .terraform, state, plan binaries, credentials, crash logs and caches are prohibited.
Static validation may use terraform init -backend=false only after the owner separately approves any required provider download/network activity. An offline claim is valid only when dependencies are already approved and locally available.
Inputs and outputs must be typed, bounded, non-secret and documented. Sensitive outputs must not expose recoverable values.
Apply the mandatory owner, cost-centre, repository and expiry tags to every supported resource. Document unsupported-resource or policy exceptions explicitly.
Enforce least privilege, private networking, encryption, HTTPS, immutable images, scan-on-push, log configuration, retention, deletion protection and sandbox cost bounds.
A missing backend, owner input, account identity, Region, network value, quota, price source, exception expiry or destructive confirmation fails closed.
AUTOMATED TEST BOUNDARY
Gate 1 must discover and list exact test paths; it may not invent a repository filename. Proposed coverage must include:
Terraform formatting, validation, module/root contracts, variables, outputs, tags, dependency ordering and deletion controls.
Static Checkov coverage and any already-approved Terraform linting available in the repository.
No W5-003 OPA policy implementation or OPA PASS claim in W5-001.
Backend encryption/versioning/locking and bootstrap-before-platform constraints.
KMS/S3 privacy, Secrets Manager metadata-only, IAM trust/least privilege, private OpenSearch and ECR immutability/scanning.
Rejection of secrets, public access, wildcard privileges, unsafe deletion, unbounded cost, repository state/plan/cache and missing tags.
Strict verifier input/report schemas, canonical serialization and redaction.
Fake STS, Bedrock control-plane/runtime and Service Quotas clients; no network in ordinary tests.
Account/Region/target/quota mismatch, unavailable/unauthorized model, malformed output, timeout, cancellation, security/quality/cost failure and no silent retry/substitution.
W3 immutable-baseline and evaluator regressions; W4 API/agent/telemetry/rollback regressions affected by changed consumers.
Rollback and teardown tests proving no state, plan, report, cache, bytecode, task, process, socket or unexpected file residue.
Existing ordinary suite and repository/platform validation without weakening assertions.
MANDATORY GATE 1 RESPONSE
Return one decision-oriented report with these sections:
Business outcome and measurable acceptance.
Governing baseline: current HEAD/branch/status; source and protected hashes; current W1-08/SEC-003, W3, W4 and W5-INPUTS facts; tool/dependency versions; caches/residue; unresolved facts. Do not treat Excel/open-workbook state as blocking.
Tracker and prerequisite reconciliation: W5-01 through W5-05, accepted model/Region/policy values, ExpiresAt, BED-001 access/quota status and later-task ownership.
Producer-consumer impact matrix for every Terraform module/root, variable/output, CLI/schema/report field, dependency, feature record, validator, fixture, test and operational consumer.
Function, data, control, trust and network map: local/static path; verifier STS/control/quota/runtime/evaluation path; Terraform future plan/apply path; errors, timeouts, retries, cancellation, identity, state and cleanup.
Schema/serialization/fixture analysis, including malformed, missing, duplicate, reordered, unexpected and modified cases.
Dependency/runtime API analysis covering Python/Boto3/evaluator contracts, Terraform/providers, Checkov and existing configured tools; identify downloads/network/caches and deprecated APIs.
Exact path manifest: CREATE, UPDATE, DELETE, VERIFIED UNCHANGED CONSUMERS, DEFERRED and EXCLUDED. Use repository-relative file paths only, one classification per path, with exact symbols/sections and reasons. No wildcard or directory-only approval entries.
Complete automated-test design: exact paths and positive/negative/security/rollback/teardown coverage, fake versus real boundaries and expected classifications.
Planned Owner TEST-001 guide. Provide commands together in final order, each with topic, purpose, expected output, access/network/privacy/cost/cache effect and stop condition. The owner later runs one command at a time. Begin with external-environment activation and executable/cache verification. Separate offline/static, read-only AWS, paid Bedrock, Terraform lifecycle and cleanup commands.
Security, privacy, residency, reliability, cost, rollback, teardown and residual-resource analysis.
Consolidated owner decisions: ask all still-unapproved decisions once, with recommendation, alternative/trade-off and exact gate impact. Reuse approved values and do not re-ask them.
COLUMN L READINESS RULES
Gate 1 may recommend Column L only when:
Every CREATE/UPDATE/DELETE path and every material unchanged consumer is reconciled.
All code-edit-blocking decisions are resolved.
Existing W5 inputs are sufficient for code/static tests, with placeholders confined to non-runtime examples.
W1-08/SEC-003 status and its live-cloud gate impact are explicit.
The Bedrock schema, quota-code/discovery treatment, price source/date, live-test boundary, report/cache retention and non-Converse behavior are exact.
Terraform plan/apply/deployment and W5-003 OPA work remain outside Column L.
Do not make the still-unresolved ExpiresAt value or pending live AWS evidence block bounded code/static tests. They must block the later activity that requires them.
TEST-001 GOVERNANCE
Codex supplies guidance only. The owner activates environments, installs/downloads with separate approval, runs every command, reviews output, authorizes network/paid/cloud access and performs remediation, rollback and teardown.
Commands are executed one at a time. Stop on the first unexpected FAIL or INDETERMINATE result, network/provider contact, cost, file mutation or residue.
After failure, perform complete read-only root-cause and producer-consumer analysis. No remediation is authorized until the owner approves one consolidated bounded remediation manifest.
Preserve PASS, FAIL, NOT RUN and INDETERMINATE exactly. A later PASS does not erase a historical FAIL.
Fake/offline PASS proves only the deterministic contract. It never proves AWS access, quota, real-model quality, price, latency, residency, deployment or production readiness.
DOCUMENTATION AND EVIDENCE BOUNDARY
Do not write documentation or evidence under Gate 1 or Column L. After owner testing, a separate Column M manifest must inspect and classify the exact documentation paths. Planned canonical records are:
docs/test-evidence/W5-001.md
docs/test-evidence/W5-02-bootstrap.txt
docs/test-evidence/W5-02-bedrock-verification.txt
docs/test-evidence/W5-03-security.txt
docs/test-evidence/W5-04-iam.txt
docs/test-evidence/W5-05-platform-plan.txt
docs/test-evidence/README.md
W5-05-platform-plan.txt must record NOT RUN under W5-001 if no real plan occurred. If another tracker sheet names docs/test-evidence/W5-terraform.txt, Gate 1 must report the evidence-path conflict and request one canonical owner choice; it must not create both silently.
Column N must close every Column M document with owner-supplied reviewer, role, exact decision, timestamp/timezone, warnings, risks, gaps, limitations, deferrals, PASS/FAIL/NOT RUN/INDETERMINATE facts, deployment, rollback, teardown, residual resources, conditions and next-task handover. Only the owner updates Excel.
POST-IMPLEMENTATION LEARNING HANDOFF
After an approved bounded edit, and before TEST-001, return a task-specific handoff without claiming test results:
Business summary and measurable value.
Technical deep-dive covering state bootstrap, KMS/S3/secrets metadata, IAM/OIDC, OpenSearch/ECR and Bedrock verification.
End-to-end local, AWS-verification and future Terraform lifecycle flows.
Layman analogy.
Decision recap with alternatives, trade-offs and revisit conditions.
Security, privacy, residency, reliability, cost and lifecycle explanation.
Failure, remediation, rollback, teardown and residue distinction.
Owner duties and TEST-001 stages.
Interview-ready 30-second, two-minute and five-minute explanations plus at least five Q&amp;A covering architecture, failure, security, cost and scale.
Teach-back checklist connecting W5-001 to W3 evaluation/guardrails, W4 API/agent/telemetry and later W5/W6 deployment gates.
EXACT GATE 1 END STATES
If the repository, protected baseline or approved source materially differs: BLOCKED — BASELINE CHANGED — W5-001.
If a code-edit decision remains unresolved: BLOCKED — OWNER DECISIONS REQUIRED — W5-001.
If the complete impact review is ready for owner review but Column L has not been supplied: READY FOR PRE-EDIT REVIEW — W5-001.
INITIAL EXECUTION INSTRUCTION
When this Main Prompt is first invoked, perform Gate 1 only. Make no change and run no test or external activity. End with the exact applicable Gate 1 status above.</t>
  </si>
  <si>
    <t>READY FOR PRE-EDIT REVIEW — W5-001</t>
  </si>
  <si>
    <t>W5-02, W5-03, W5-04, W5-05</t>
  </si>
  <si>
    <t>COLUMN L — COMPLETE BOUNDED CODE EDIT APPROVAL — W5-001
APPROVED TASK CONTRACT
- Prompt and tracker steps: W5-001 / W5-02, W5-03, W5-04, W5-05
- Business purpose: Produce reviewable infrastructure and prove the approved Bedrock target before deployment without storing secret material.
- Architecture and design: Separate Terraform bootstrap and sandbox roots compose KMS, storage, secret metadata, IAM, OpenSearch and ECR modules; a separate fail-closed Python utility verifies AWS identity, exact Bedrock target, account quotas, quality, security and cost through owner-controlled execution; state remains isolated and removed last.
- Exact interfaces, functions and connections: Typed Terraform variables accept owner-approved account, Region, network, tags and service identifiers; module outputs expose only non-secret IDs and ARNs. The utility reads a strict non-secret JSON contract, uses injected STS/Bedrock/Service Quotas clients, calls Converse only after owner opt-in and emits one redacted classified JSON report.
- Exact inputs, outputs, errors and invariants: Inputs are limited to final-approved W5 values, expected account, source Region, explicit target/model/profile IDs, explicit quota codes, evaluation paths, inference/security/cost limits and non-secret infrastructure values. Outputs include approved code/configuration/test-code changes and an owner-generated redacted verification report plus the owner test/deployment/remediation and learning guides.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Gate 1 verifies the existing Boto3/Botocore and evaluator APIs. Offline tests use injected fakes; live STS/Bedrock/Service Quotas and paid Converse calls are owner-only TEST-001 actions.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tests inspect expected plan shape. Verification tests use deterministic fakes to reject wrong identity/target/quota/schema, injection/leakage, unsafe cost and malformed output; teardown tests preserve bootstrap-last and zero-residue boundaries.
- Accepted baseline: The inspected repository contains every UPDATE path and does not contain every CREATE path. Historical results remain unchanged; future execution must revalidate content and patch anchors.
EXACT APPROVED PATH MANIFEST
CREATE:
- configs/verification/bedrock-owner-test.json
- tools/bedrock_owner_verify.py
- tests/unit/test_bedrock_owner_verify.py
- tests/security/test_bedrock_owner_verify_security.py
- tests/teardown/test_bedrock_owner_verify_cleanliness.py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docs/cost-estimates/W5-inputs.md
- infra/environments/sandbox/terraform.tfvars.example
- configs/eval/golden.jsonl
- configs/eval/w3-002.yaml
- configs/eval/baselines/w3-002-v1.json
- src/enterprise_ai_platform/config.py
- src/enterprise_ai_platform/evaluation/evaluator.py
- src/enterprise_ai_platform/llm/bedrock.py
- src/enterprise_ai_platform/retrieval/adapters/opensearch.py
REQUIRED UPSTREAM PRODUCERS:
- None
DEFERRED:
- Owner-generated reports/verification/bedrock-owner-test-result.json until TEST-001.
- Live AWS identity/model/quota checks, paid Converse smoke/evaluation, billing reconciliation and final model approval until explicit owner execution authorization.
- Non-Converse/non-text adapters unless separately approved.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</si>
  <si>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M — EXACT DOCUMENT WRITING APPROVAL — W5-001
PROMPT ID
W5-001-COLUMN-M
PURPOSE
Create the final W5-001 business, technical, security, infrastructure and Bedrock verification evidence from the completed owner testing.
The formal W5-001 result is:
TESTING CLOSED — FORMAL RESULT REMAINS FAIL; OWNER ACCEPTED THE FAILURE AS A BEDROCK MODEL-RESPONSE LIMITATION.
The accepted failure must never be converted to PASS. It does not establish production readiness or authorize deployment.
AUTHORIZATION BOUNDARY
This approval authorizes documentation changes only.
It does not authorize:
* Application, test, Terraform, policy or configuration changes.
* Test, Ruff, MyPy, TFLint, Checkov or OPA execution.
* Terraform init, validate, plan, apply or destroy.
* AWS, Bedrock, OpenSearch, GitHub or network activity.
* Further paid model invocation.
* Evidence-report regeneration or modification.
* Installation or removal of tools.
* Git stage, commit, push, reset or cleanup.
* Excel or tracker changes.
* Deployment, rollback or cloud teardown.
READ-ONLY PREFLIGHT
Before writing, inspect:
1. Complete repository status.
2. Every proposed documentation path.
3. The approved W5-001 implementation manifest.
4. The owner testing summary.
5. Existing W5-001 run directories 01–16.
6. Final Run 16:
   * manifest.json
   * events.jsonl
   * result.json
   * integrity.json
7. Existing approval sections in docs/test-evidence/README.md.
8. Relevant W5-INPUTS-001 and protected evidence.
Read-only inspection and checksum calculation are permitted.
Do not execute source code, tests, Terraform, scanners, policy engines, AWS commands or model calls.
The Excel workbook and any corresponding ~$ lock file are owner-controlled, excluded and non-blocking.
Stop without writing if:
* An approved owner result conflicts with retained evidence.
* A CREATE target already exists.
* An UPDATE target is missing.
* A report integrity check fails.
* The formal FAIL is represented as PASS.
* A result, cost, timestamp or approval would need to be invented.
* An unexpected documentation path would be required.
EXACT DOCUMENT MANIFEST
CREATE — EXACTLY 6
1. docs/test-evidence/W5-001.md
2. docs/test-evidence/W5-02-bootstrap.txt
3. docs/test-evidence/W5-02-bedrock-verification.txt
4. docs/test-evidence/W5-03-security.txt
5. docs/test-evidence/W5-04-iam.txt
6. docs/test-evidence/W5-05-platform-plan.txt
UPDATE — EXACTLY 1
1. docs/test-evidence/README.md
DELETE — EXACTLY 0
No deletion is authorized.
Total documentation scope:
* CREATE: 6
* UPDATE: 1
* DELETE: 0
* Total: 7 documents
VERIFIED UNCHANGED
At minimum, preserve unchanged:
* docs/cost-estimates/W5-inputs.md
* infra/environments/sandbox/terraform.tfvars.example
* configs/verification/bedrock-owner-test.json
* tools/bedrock_owner_verify.py
* All application and test code.
* All Terraform modules and roots.
* .tflint.hcl
* requirements-dev.txt
* Makefile
* feature-matrix.yaml
* .pre-commit-config.yaml
* .secrets.baseline
* Every file under reports/verification/
* All W1–W4 evidence and approval records.
EXCLUDED
* docs/test-evidence/W5-terraform.txt
* Every path not listed under CREATE or UPDATE.
* Excel and tracker files.
* Git state and history.
* Canonical run evidence modification.
* New reports or owner-review files.
* owner-review.json
* final.json
* Terraform state, plans and lock files.
GOVERNING RESULT CLASSIFICATION
The documents must state prominently:
* Overall W5-001 TEST-001 result: FAIL.
* Testing lifecycle: CLOSED.
* Owner disposition: failure accepted as a documented Amazon Nova 2 Lite response limitation.
* Further verifier remediation: not planned.
* Further paid rerun: not planned.
* Production readiness: not established.
* Release eligibility: not established.
* Owner acceptance does not convert FAIL to PASS.
LOCAL QUALITY RESULTS
Record exactly:
* Pytest: PASS — 798 passed, 7 skipped, 4 deselected and 10 subtests passed.
* Ruff: PASS — All checks passed.
* MyPy: PASS — no issues in 107 source files.
* Platform contract validation: PASS.
* Terraform formatting: PASS after approved formatting corrections.
* Terraform bootstrap validation: PASS.
* Terraform sandbox validation: PASS.
* Checkov 3.3.16: PASS — 226 passed, 0 failed and 20 skipped.
* OPA 1.20.0: PASS — 6 of 6 policy tests.
* TFLint 0.60.0 with AWS ruleset 0.48.0: owner-reported PASS after approved remediation.
* Terraform initialization-residue cleanup: PASS.
* Focused Bedrock verifier unit/security tests: PASS.
PRESERVED NOT RUN ITEMS
Record these as NOT RUN, not PASS:
* Four local-retrieval tests.
* One tokenizer integration test.
* One Qdrant integration test.
* One sentence-transformer test.
* Four deselected tests.
* Terraform plan.
* Terraform apply.
* AWS infrastructure deployment.
* Application deployment.
* Infrastructure rollback.
* Cloud rollback.
* Cloud teardown/destroy.
* Production model-quality validation.
* Production performance and capacity testing.
* Production-readiness validation.
Record that skipped real integrations were owner-controlled and opt-in.
ACCEPTED WARNING
Record the unresolved accepted warning:
* One StarletteDeprecationWarning concerning httpx and starlette.testclient.
Do not classify the warning as resolved.
STATIC INFRASTRUCTURE AND SECURITY RESULTS
Record:
* Both approved Terraform roots passed configuration validation.
* No Terraform plan or apply was executed.
* Checkov finished with 226 passed, 0 failed and 20 explicitly approved sandbox-specific skips.
* Six genuine security gaps were identified, remediated and passed on rerun.
* The historical security findings must not be erased.
* OPA policy tests passed 6/6 using synthetic plan-shaped inputs.
* TFLint passed after approved remediation.
* IAM wildcard and bounded-resource restrictions passed automated testing.
* No AWS infrastructure was created, modified or deleted.
* No production, availability, resilience or performance claim is established.
BEDROCK RUN SUMMARY
Record this exact table:
| Run                | Mode                 | Overall result                                | Requests |   Recorded cost |
| ------------------ | -------------------- | --------------------------------------------- | -------: | --------------: |
| W5-001-20260904-13 | Dry run              | NOT RUN                                       |        0 |           USD 0 |
| W5-001-20260904-14 | Account read-only    | INDETERMINATE                                 |        0 |           USD 0 |
| W5-001-20260904-15 | Paid smoke           | NOT RUN overall; authorized smoke checks PASS |        1 | USD 0.000004941 |
| W5-001-20260904-16 | Full paid evaluation | FAIL                                          |       25 | USD 0.005007339 |
Explain that Run 15’s overall NOT RUN means the full evaluation was not authorized in that mode. It does not invalidate its successful bounded smoke invocation.
RUN 16 PASSED CONTROLS
Record exactly:
* Exact configuration contract: PASS.
* Caller identity: PASS.
* Model and inference-profile configuration: PASS.
* Service quotas: PASS.
* Bedrock model access: PASS.
* Owner-confirmed pricing contract: PASS.
* Bounded smoke invocation: PASS.
* Cost ceiling: PASS.
* Retrieval Recall@5: 24/24.
* MRR: 24/24.
* Citation precision: 28/28.
* Abstention correctness: 12/12.
* Expected-error correctness: 3/3.
* Release-blocking failures: 0.
* Security violations: 0.
* Invalid citations exposed: 0.
* Automatic exact answered correctness: 19/24.
* Combined automatic correctness: 31/36.
RUN 16 FAILED CONTROLS
The formal live hard gate failed for exactly:
* Q15: Amazon Nova 2 Lite weakened the evidence-backed imperative “Apply…” to “should apply…”.
* Q18: Amazon Nova 2 Lite weakened the evidence-backed imperative “Roll back…” to “should roll back…”.
* Q22: Amazon Nova 2 Lite omitted the mandatory word “must”.
Also record:
* Q1, Q2, Q4, Q21 and Q22 missed the lexical exact-match gate.
* Lexical differences must not automatically be described as semantic failures.
* Q2 omitted “Plans require review,” creating an unresolved completeness concern.
* All 24 live answers remained pending semantic owner review.
* No owner-review.json was produced.
* No final.json was produced.
Do not infer semantic approval, semantic rejection or a final reviewed score.
OWNER CLOSURE DECISION
Record:
* The verifier operated as designed.
* It correctly detected and reported the model-response failures.
* The approved questions were not weakened.
* The evaluation strictness was not reduced.
* The final failure is attributed to Amazon Nova 2 Lite response variability and its failure to preserve mandatory control strength.
* The owner accepts this as a documented model limitation.
* Testing is closed.
* No further verifier remediation or paid evaluation is planned.
* Acceptance does not convert FAIL to PASS.
* Acceptance does not establish production readiness.
The exact closure timestamp and timezone have not been supplied.
Record this field as:
PENDING COLUMN N — OWNER MUST SUPPLY EXACT DATE, TIME AND TIMEZONE.
Do not invent or derive a timestamp from report filenames, filesystem metadata or conversation time.
HISTORICAL RESULTS
Preserve:
* Runs 04 and 12: FAIL after owner semantic review.
* Run 08 and other unreconciled account-read-only evaluations: INDETERMINATE.
* Dry-run and smoke-only modes classified as NOT RUN: remain NOT RUN.
* Historical tool and parser failures: preserved as historical FAIL facts.
* Approved remediation reruns: recorded separately as PASS where supported.
* Historical failures must not be overwritten by later results.
Do not invent the exact status of any run whose result is not established by owner evidence.
COST
Record:
* Retained run directories 01–16 total: USD 0.01929582.
* This is not the complete historical cost.
* Earlier paid executions performed before immutable run-scoped evidence was introduced are excluded.
* Run 16 cost: USD 0.005007339.
* Run 15 cost: USD 0.000004941.
* Local CPU, storage, network bandwidth and owner time are not represented as USD 0.
Do not claim that USD 0.01929582 is the total cost of every historical attempt.
EVIDENCE
Reference, but do not modify, the final Run 16 files:
* reports/verification/W5-001-20260904-16/manifest.json
* reports/verification/W5-001-20260904-16/events.jsonl
* reports/verification/W5-001-20260904-16/result.json
* reports/verification/W5-001-20260904-16/integrity.json
Record their verified SHA-256 values if available through read-only inspection.
Describe accurately that the retained evidence includes:
* Runtime versions.
* Repository and configuration hashes.
* Provider-request events.
* Request identifiers where returned.
* Token usage.
* Recorded cost.
* Model answers.
* Citations.
* Gate results.
It does not retain:
* AWS credentials.
* Authentication secrets.
* Raw provider response envelopes.
Do not reproduce complete prompts, answers, credentials, tokens or provider payloads in the documentation.
RETENTION AND RESIDUE
Record:
* reports/verification/ is retained locally.
* It is excluded from Git through .gitignore.
* No retained verification evidence was deleted or modified.
* Local verification reports are intentional residual artifacts.
* Terraform initialization residue cleanup: PASS.
* Cloud resources created: none.
* Cloud residual resources: none.
* Owner-managed OPA, TFLint, TFLint plugin cache and isolated Checkov tooling may remain installed.
* These are local tooling artifacts, not cloud resources.
* Their later retention or removal remains owner-controlled.
* No broad deletion of shared caches is authorized.
DEPLOYMENT, ROLLBACK AND TEARDOWN
Record independently:
* Application deployment: NOT RUN.
* Terraform plan: NOT RUN.
* Terraform apply: NOT RUN.
* Cloud deployment: NOT RUN.
* Infrastructure rollback: NOT RUN.
* Cloud rollback: NOT RUN.
* Cloud teardown/destroy: NOT RUN.
* Cloud resources created: none.
* Cloud residual resources: none.
* Local Terraform initialization cleanup: PASS.
* Local verification evidence: intentionally retained.
Do not describe “no cloud resources created” as cloud teardown PASS. No cloud teardown was required or executed.
DOCUMENT-SPECIFIC CONTENT
1. docs/test-evidence/W5-001.md
Create the aggregate W5-001 record containing:
* Business purpose.
* Architecture and implementation scope.
* Complete local-quality summary.
* Static Terraform and security results.
* Bedrock run history.
* Formal overall FAIL.
* Owner acceptance of the model limitation.
* Costs.
* Security and privacy results.
* Evidence inventory.
* Historical failures.
* Warnings, skips and limitations.
* Deployment, rollback, teardown and residue.
* Final Owner Approval section pending Column N.
2. docs/test-evidence/W5-02-bootstrap.txt
Record:
* Terraform bootstrap purpose and boundary.
* Formatting and validation PASS.
* Static security controls.
* State-boundary design.
* Terraform plan/apply NOT RUN.
* No state backend or cloud resource created.
* Initialization-residue cleanup PASS.
* Local/static-only limitation.
* Final Owner Approval section pending Column N.
3. docs/test-evidence/W5-02-bedrock-verification.txt
Record:
* Verifier business purpose.
* Exact run-mode table.
* Identity, model, quota, pricing and cost checks.
* Run 16 passed and failed controls.
* Q15, Q18 and Q22 hard-gate failures.
* Lexical mismatches and unresolved Q2 completeness concern.
* Pending semantic review for all 24 answers.
* Formal FAIL and owner-accepted model limitation.
* Run and cumulative retained costs.
* Exact Run 16 evidence paths and verified hashes.
* No production-readiness claim.
* Final Owner Approval section pending Column N.
4. docs/test-evidence/W5-03-security.txt
Record:
* Checkov 3.3.16 results.
* Six historical genuine security findings and successful remediation.
* Twenty approved sandbox-specific skips.
* OPA 1.20.0 result: 6/6 PASS.
* TFLint result and approved remediation.
* IAM wildcard/resource tests.
* Bedrock security violations: zero.
* Invalid citations exposed: zero.
* Remaining sandbox and production limitations.
* Final Owner Approval section pending Column N.
5. docs/test-evidence/W5-04-iam.txt
Record:
* Verified caller identity.
* Bounded IAM-user sandbox exception.
* Trust-policy expiry.
* Runtime, ingestion and OpenSearch administrator role boundaries.
* Wildcard and bounded-resource controls.
* No existing user permission expansion.
* Pod Identity associations NOT RUN.
* No infrastructure deployment.
* Final Owner Approval section pending Column N.
Do not expose credentials or sensitive identity material beyond already approved identifiers.
6. docs/test-evidence/W5-05-platform-plan.txt
State prominently:
TERRAFORM PLAN — NOT RUN.
Record:
* Static formatting and validation PASS.
* Checkov, OPA and TFLint results.
* No terraform plan.
* No plan JSON.
* No real-plan OPA evaluation.
* No apply.
* No deployment.
* No infrastructure rollback.
* No cloud teardown.
* Platform readiness and production compatibility remain unproven.
* Final Owner Approval section pending Column N.
The filename must not be used to imply that a Terraform plan exists.
7. docs/test-evidence/README.md
Update the evidence index to:
* Add the six W5-001 documents.
* Record the formal W5-001 FAIL.
* Record testing CLOSED with an accepted model limitation.
* Preserve the distinction between local/static PASS results and live Bedrock FAIL.
* Preserve all NOT RUN and INDETERMINATE facts.
* Link to existing retained evidence without copying its sensitive content.
* Preserve all previous final approvals unchanged.
* Add a W5-001 Final Owner Approval section pending Column N.
FINAL OWNER APPROVAL SECTIONS
Add a clearly labelled Final Owner Approval section to every one of the seven documents.
Each section must contain:
* Reviewer: PENDING COLUMN N.
* Reviewer role: PENDING COLUMN N.
* Exact final decision: PENDING COLUMN N.
* Decision date/time/timezone: PENDING COLUMN N.
* Formal test result: FAIL.
* Testing lifecycle: CLOSED.
* Accepted model limitation: recorded.
* Accepted warnings and risks: PENDING COLUMN N confirmation.
* Evidence gaps and limitations: PENDING COLUMN N confirmation.
* Deferred actions and owners: PENDING COLUMN N.
* Deployment facts: NOT RUN.
* Rollback facts: NOT RUN except local initialization-residue cleanup PASS.
* Teardown facts: cloud teardown NOT RUN.
* Residual resources: local reports and owner-managed tools retained.
* Approval conditions: PENDING COLUMN N.
Do not mark any document finally approved during Column M.
MANDATORY COLUMN M OUTPUT
After writing, return:
COLUMN M APPROVED DOCUMENT MANIFEST — W5-001
Include one row for each of the seven documents with:
1. Exact path.
2. CREATE or UPDATE classification.
3. Business purpose.
4. Owner test results.
5. Formal overall classification.
6. Historical failures.
7. Warnings and accepted risks.
8. Evidence gaps and limitations.
9. Network/provider/model activity.
10. Recorded cost.
11. Deployment status.
12. Rollback status.
13. Teardown status.
14. Residual resources.
15. Fields pending Column N.
16. Exact Final Owner Approval section location.
17. Column N closure requirement.
Manifest reconciliation must be exactly:
* CREATE: 6
* UPDATE: 1
* DELETE: 0
* Total Column M documents: 7
COLUMN N REQUIREMENT
Column N must update and close all seven documents—not only the aggregate evidence document or README.
Column N must preserve:
* Formal overall FAIL.
* Testing CLOSED.
* Accepted Amazon Nova 2 Lite limitation.
* Every PASS, FAIL, NOT RUN and INDETERMINATE fact.
* Historical failures and remediation.
* Pending semantic review.
* Q2 completeness concern.
* Accepted warning.
* Incomplete historical-cost limitation.
* No production-readiness claim.
* Deployment, rollback, teardown and residual-resource facts.
Any proposal to convert the overall result to PASS must block closure.
End exactly:
DOCUMENTATION READY FOR OWNER REVIEW — W5-001.</t>
  </si>
  <si>
    <t>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BED-001 exact target, account-match, access, quota, quality, security, token, cost, network/provider and eligibility facts: [exact owner results or NOT RUN/INDETERMINATE]
- Deployment, rollback, teardown, report/cache retention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a successful automated report may establish eligible_for_owner_approval but never substitutes for the exact owner decision/time.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document—including the dedicated W5-02 BED-001 verification evidence—must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t>
  </si>
  <si>
    <t xml:space="preserve">FOUR APPROVAL GATES PLUS OWNER TESTING AND WEEKLY LEARNING — TRACKER v1.3.5
MAIN PROMPT — W5-002
1. Task identity
Week: Week 5
Prompt ID: W5-002
Current implementation cycle: Phase A only
Feature/outcome: GitHub Actions DevSecOps CI and local supply-chain assurance
Current covered tracker steps: W5-07 and W5-08
Deferred later tracker step: W6-01 image publication to ECR
Business purpose: Enforce software-quality, infrastructure-as-code and software-supply-chain gates using short-lived identity and immutable artifact provenance.
Primary beneficiaries: Developers, platform engineers, security reviewers, release managers, SRE and auditors.
Task type: implementation
Next approval position: Gate 1 read-only review, followed only later by a separate exact Column L Code Edit Approval.
2. Initial execution instruction
When this Main Prompt is first invoked, perform Gate 1 only.
Do not create, edit, delete, install, download, execute, test, lint, format, build, scan, start, stop, deploy, push, publish, remediate, roll back, tear down, contact GitHub, a registry, AWS, Bedrock, Qdrant or another external service, edit Excel, or mutate Git or external state.
Read-only repository inspection, file comparison, metadata inspection and hashing are permitted. Treat an open Excel workbook and its corresponding ~$ lock file as owner-controlled, excluded and non-blocking. An uncommitted workbook change is not an owner decision and must not be used as a Column L blocker unless it changes the exact governing on-disk content being relied upon.
Never invent an owner decision, action SHA, image digest, tool version, repository identity, retention period, exception, test result or approval. Never silently reconcile conflicting evidence.
3. Source precedence
Apply the repository-approved source precedence, expected to begin with ADR-000:
Enterprise AI Architecture Source of Truth.
Owner-approved ADRs and explicit owner decisions.
Approved coaching and learning records.
Authoritative tracker v1.3.5.
Approved feature requirements, configuration and implementation evidence.
Report any conflict. Do not resolve it through filename recency, assumption or convenience.
4. Authoritative tracker scope
W5-07 — CI/CD
Action: Create PR CI and Terraform-plan workflow using GitHub OIDC.
Business reason: Automated gates and short-lived identity reduce change and credential risk.
Acceptance: All approved checks run; apply and destroy remain owner-gated and are never automatic.
Dependencies: W5-04 and W5-06.
Owner input: GHA-001.
Canonical evidence: docs/test-evidence/W5-07-ci.txt.
Rollback: Disable the workflow, revoke or narrow OIDC trust and retain the last known-good release.
W5-08 — Supply chain
Action: Build the application image, scan it with Trivy and Grype, and generate Syft SPDX and CycloneDX SBOMs.
Business reason: Deployment must use a known, scanned and reproducible immutable artifact.
Acceptance: Approved vulnerability thresholds fail closed; the SBOM and redacted provenance are retained; no image is published.
Dependency: W5-07.
Canonical evidence: docs/test-evidence/W5-08-supply-chain.txt.
Rollback: Reject the candidate artifact and retain the previously approved digest.
W6-01 — Explicitly deferred from this cycle
Action: Publish a scanned image to ECR by immutable digest.
Tracker dependency: W5-14, together with the separately approved W5 lifecycle and Week 6 readiness conditions.
Evidence: docs/deployment-records/W6-image.md.
Current treatment: DEFERRED. Do not implement, execute, test, document or claim W6-01 under the W5-002 Phase A cycle.
W6-01 requires a later separate baseline, exact Column L manifest, registry/network authorization, owner TEST-001 execution, Column M manifest and Column N closure. A mutable tag may later be a convenience label, but it must never become deployment authority.
5. Reconciled completed baseline
Gate 1 must inspect and reconcile the current repository rather than relying solely on the following owner-supplied summary.
Weeks 1–4
The repository, configuration, testing, retrieval, cited RAG, deterministic evaluation, guardrails, rollback, API, authorization, bounded agent, telemetry, failure, load and release-rollback foundations have owner-approved local evidence.
W1-08 and SEC-003 were subsequently implemented and tested. The canonical .pre-commit-config.yaml and .secrets.baseline now exist in the reported repository baseline. Historical records that truthfully described their earlier absence remain historical facts.
The protected W3-002 deterministic evaluation baseline must remain immutable.
Week 4 implementation and rollback closure reached the owner-reported ordinary-suite baseline of 724 passed, 7 skipped and 4 deselected before Week 5 changes.
No prior local or fake evidence proves GitHub-hosted execution, registry publication, production deployment or cloud readiness.
W5-INPUTS-001
The non-secret 30-key sandbox input contract and business-readable decision record were created and owner reviewed.
Gate 1 must inspect their current content and approval status.
No credential or long-lived secret may be copied from those records into GitHub Actions.
Any unresolved owner placeholder remains unresolved and cannot be inferred.
W5-001 implementation and testing
The owner reports:
Pytest: PASS — 798 passed, 7 skipped, 4 deselected and 10 subtests passed.
Ruff: PASS.
MyPy: PASS across 107 source files.
Platform validation: PASS.
Terraform formatting and both approved root validations: PASS.
Checkov 3.3.16: PASS — 226 passed, 0 failed and 20 owner-approved sandbox-specific skips.
OPA 1.20.0: PASS — 6/6 offline policy tests.
TFLint 0.60.0 with AWS ruleset 0.48.0: owner-reported PASS after approved remediation.
Terraform initialization residue cleanup: PASS.
No Terraform plan, apply, cloud deployment, infrastructure rollback or cloud teardown was run.
The final W5-001 Bedrock verification result is FAIL, with testing closed and the failure accepted by the owner as an Amazon Nova 2 Lite response limitation. It must never be converted to PASS.
The failed hard-gate cases were Q15, Q18 and Q22 because the live model weakened or omitted mandatory policy language. Q2 also retained an unresolved completeness concern. All 24 live answers remained pending semantic review. No owner-review.json or final.json was produced for the final run.
The Bedrock verifier itself operated as designed. Identity, access, quota, pricing, bounded invocation, retrieval, citations, abstention, expected-error, security and cost controls passed, but those component results do not override the formal overall FAIL.
This W5-001 FAIL:
Blocks treating Amazon Nova 2 Lite as an approved production/deployment model.
Blocks any claim that BED-001 or production model quality is complete.
Blocks W5/W6 apply, deployment and promotion approval unless the owner supplies an explicit later resolution.
Does not by itself block writing and locally testing W5-002 CI and supply-chain controls.
Prohibits a live Bedrock CI smoke test from being represented as PASS.
Must be surfaced by the proposed CI contract as an unresolved release/deployment blocker, not bypassed or weakened.
Retained W5-001 verification reports are evidence inputs only. W5-002 must not modify, upload or expose them.
6. Prerequisite rules
W5-04
Gate 1 must verify the implemented GitHub OIDC trust-only role and its current tests. Do not infer that a role exists in AWS merely because Terraform code exists.
W5-06 / W5-003
W5-07 depends on W5-06. W5-001 created and tested a bounded OPA/Checkov foundation, but its approval explicitly stated that this did not complete W5-003 or W5-06.
Therefore:
Gate 1 may inspect and plan W5-002.
Column L must remain blocked until W5-003/W5-06 implementation, owner testing and governing approval are proven, unless the owner supplies an explicit superseding dependency decision.
W5-001’s six OPA tests and Checkov results cannot silently be relabelled as W5-06 completion.
GHA-001
Gate 1 must reconcile the tracker’s GHA-001 status against current approved inputs and Terraform trust conditions. Required exact facts include:
GitHub organization or owner.
Repository name.
Protected GitHub environment name.
Allowed event and ref/subject patterns.
Exact OIDC provider ARN.
Exact GitHub Actions role ARN.
Session duration.
Audience.
Fork and untrusted-PR behavior.
If any required value is missing, request it once in the consolidated owner decisions. Do not infer it from a local folder name or Git remote unless the owner explicitly approves that value.
Documentation status
If W5-001 Column M or Column N remains incomplete, record that governance gap. It blocks final W5-002 closure and later deployment approval, but it does not automatically block a bounded W5-002 code edit when the exact implementation/test facts are owner supplied and non-conflicting.
7. Phase A business outcome and measurable acceptance
W5-002 Phase A should produce two independently testable outcomes:
A least-privilege pull-request CI workflow that runs the approved local quality, security and IaC gates and produces a non-authoritative speculative plan review where owner-approved and safe.
A supply-chain workflow that builds one exact local/CI image, scans that same artifact, creates both approved SBOM formats and retains redacted provenance without publishing the image.
Measurable acceptance must include:
No AWS access-key or long-lived cloud credential is stored or requested.
GitHub OIDC is used only in the exact approved trusted context.
Untrusted or fork pull requests receive no cloud identity token.
Workflow and job permissions are explicit and least privilege.
Every third-party GitHub Action is pinned to an exact immutable commit SHA.
Base and service-container images are pinned to exact approved digests.
Tool installers, downloaded binaries and dependencies have explicit versions and provenance/checksum controls.
Ruff, MyPy, Pytest, pre-commit/secret scanning, Terraform formatting and validation, TFLint, Checkov and OPA execute in the approved scopes.
A CI-generated Terraform plan is speculative only, cannot be applied and is not the W5-09 owner-approved saved plan.
Sensitive Terraform plan data, environment dumps, credentials, raw model content and W5-001 retained reports are not uploaded.
The existing deterministic RAG/evaluation regression can run locally/offline without a live provider.
No live Bedrock invocation occurs in Phase A unless later separately approved; the existing W5-001 model-quality FAIL remains visible.
Trivy and Grype enforce the approved critical-vulnerability policy.
Syft generates both SPDX JSON and CycloneDX JSON for the exact built image.
Scan and SBOM artifacts are bound to the exact candidate image identity.
No image push, ECR mutation, Terraform apply/destroy, application deployment or Kubernetes mutation occurs.
Failure of any mandatory gate prevents artifact eligibility.
Rollback disables the workflow and rejects the candidate without deleting evidence or changing cloud infrastructure.
Cleanup removes only task-owned local containers, images, builder state and caches approved for removal.
Local tests can prove workflow structure and deterministic gate behavior. They cannot prove GitHub-hosted execution, OIDC token issuance, AWS authorization, registry publication, production vulnerability posture or deployment readiness.
8. Retained technical direction
Subject to Gate 1 inspection and owner decisions, retain the original plan:
Python 3.11 CI environment.
Repository-configured Ruff, MyPy and Pytest scopes.
Existing local pre-commit and detect-secrets controls.
Terraform formatting and validation for the approved roots.
TFLint 0.60.0 with AWS ruleset 0.48.0.
Checkov 3.3.16.
OPA 1.20.0.
GitHub OIDC and protected environment controls.
Docker/BuildKit image build without push.
Trivy filesystem/image scanning.
Grype image/SBOM scanning.
Syft SPDX JSON and CycloneDX JSON SBOM generation.
Deterministic local RAG smoke/regression testing only.
Redacted, bounded CI artifacts with an exact retention period.
Explicit timeouts and cancellation/failure behavior.
Do not interpret “pin actions to immutable SHAs” as permission to leave TODO placeholders. A Column L approval must contain the exact action SHAs, image digests, tool versions and download/provenance methods. If they are unavailable, Gate 1 must request them.
Use a Qdrant service container only if current repository tests require it and the owner approves its exact image digest, network boundary, health check, resource limits and cleanup. “If useful” is not sufficient authority.
9. Trust and execution boundaries
The intended flow is:
Git change
  -&gt; untrusted/static validation boundary
  -&gt; quality, secret and dependency gates
  -&gt; IaC formatting, validation and policy gates
  -&gt; optional trusted OIDC read-only plan boundary
  -&gt; candidate image build
  -&gt; exact-image Trivy/Grype scans
  -&gt; Syft SPDX/CycloneDX SBOMs
  -&gt; redacted provenance and eligibility decision
  -&gt; owner review
The following separations are mandatory:
pull_request_target must not execute untrusted repository code with privileged tokens.
Fork/untrusted PR validation and trusted OIDC plan execution must be separate jobs or workflows with explicit conditions.
id-token: write must exist only on the exact job that needs OIDC.
Default permissions must be read-only or none; write permissions require exact justification.
A PR plan is speculative, expires on source/input drift and is never apply authority.
The W5-09 saved-plan approval remains separate.
Image build, scan, SBOM generation and future ECR publication remain separate stages.
Phase A must not push an image.
GitHub Actions logs and artifacts must not include secrets, protected prompts, model answers, retrieved evidence, Terraform-sensitive values or raw provider responses.
Existing authorization, guardrail, RAG, agent and telemetry contracts remain unchanged unless exact current consumers prove that a bounded synchronization edit is required.
10. Gate 1 — mandatory read-only review
Return all sections below.
10.1 Business outcome and scope
Explain:
The business problem and beneficiaries.
Where W5-002 sits between source change and later deployment.
What W5-07 and W5-08 implement.
Why W6-01 is excluded from Phase A.
Functional and non-functional acceptance.
Security, privacy, reliability, cost and operational acceptance.
Blocking prerequisites, safe deferrals and downstream consequences.
10.2 Governing baseline
Report:
Exact repository root, full HEAD, branch and complete status.
Owner-controlled and unexpected changes separately.
Authoritative tracker identity/hash and any filename/version inconsistency.
Source of Truth, ADR and protected-evidence hashes relevant to W5-002.
Exact W5-INPUTS-001 and W5-001 facts.
W5-001 formal FAIL and its accepted limitation.
Current W5-001 documentation/Column N status.
W5-003/W5-06 implementation, test and approval status.
GHA-001 status and exact values.
Current Dockerfile, workflows, action/policy/configuration files, Make targets, tests and evidence paths.
Current installed-tool facts only when obtainable without executing a tool; otherwise classify them as pending owner TEST-001 verification.
Existing caches, images, containers, builders and report directories from read-only evidence where available.
Do not require a clean worktree when all changes are owner-controlled, enumerated, preserved and outside the proposed boundary. Unexpected implementation, workflow, dependency, infrastructure or target-path drift must block.
10.3 Prerequisite reconciliation
Reconcile exactly:
W5-04 tracker status versus implemented and owner-tested IAM code.
W5-06/W5-003 tracker status versus the bounded OPA/Checkov foundation created by W5-001.
GHA-001 tracker status versus current approved identity inputs.
W5-01 through W5-05 tracker statuses versus actual approved implementation/evidence.
BED-001 status versus W5-001’s formal live-evaluation FAIL.
SEC-003 status versus the current pre-commit and secret baseline.
COST-001 and RET-001 status versus artifact retention and CI-cost decisions.
W6-01’s actual dependency on W5-14.
Do not edit the tracker or reinterpret stale status cells as implementation evidence.
10.4 Producer-consumer impact matrix
For every proposed workflow, composite action, script, Make target, configuration, dependency, environment/variable name, permission, artifact, report, fixture and test, provide:
Producer/definition.
Imports/callers/triggering workflows.
Validators and policy consumers.
Serializers and artifact formats.
Fixtures and duplicated literals.
Unit, contract, integration, feature, security, rollback, teardown and cleanliness consumers.
GitHub, Docker, Terraform, AWS and later deployment consumers.
Documentation/evidence consumers.
Required change or evidence-based reason to remain unchanged.
Search the exact repository. Do not infer filenames or create shadow consumers.
10.5 Function, workflow and connection map
Map:
GitHub events and trust levels.
Job dependencies and outputs.
Permissions and OIDC-token boundary.
Python dependency installation/cache behavior.
Terraform initialization/provider/plugin cache behavior.
Secret scanning.
Speculative plan and redacted summary flow.
OPA/Checkov/TFLint inputs and outputs.
Docker/BuildKit context and cache.
Image identity from build through both scanners and both SBOMs.
Artifact upload/download and retention.
Timeouts, retries, cancellation and concurrency.
Cleanup on success, failure and cancellation.
Every network connection that an owner-run workflow would make.
10.6 Exact path manifest
Return complete repository-relative paths under:
CREATE.
UPDATE.
DELETE.
VERIFIED UNCHANGED CONSUMERS.
DEFERRED.
EXCLUDED.
For every editable path, identify the exact symbol, workflow/job, target or section and why it changes. For every inspected consumer left unchanged, state why.
No wildcard, directory-only path or placeholder filename may appear in Column L. Do not guess .github/workflows filenames, helper-script paths, Dockerfile paths, test paths or artifact paths.
If an expected file is absent, classify it as PROPOSED CREATE. If a necessary path falls outside the initial proposal, include it in the Gate 1 proposal and obtain owner approval before editing.
10.7 Workflow, schema and artifact analysis
Define exact contracts for:
Event triggers and branch/ref rules.
Fork/untrusted PR behavior.
permissions at workflow and job level.
Concurrency group and cancellation behavior.
Environment protection.
OIDC audience, subject and role/session inputs.
Matrix values and ordering, if any.
Timeouts and retry counts.
Speculative-plan metadata and expiry.
Image name/tag/content identity.
Scan report schemas and severity outcomes.
SPDX and CycloneDX filenames/formats.
Provenance manifest fields and canonical ordering.
Artifact names, contents, maximum sizes and retention.
PASS, FAIL, NOT RUN and INDETERMINATE classification.
Prove rejection of missing, malformed, duplicated, reordered where order is contractual, unexpected, unpinned, unauthorized, expired, mismatched or sensitive values.
10.8 Dependency and provenance analysis
Inspect:
pyproject.toml, requirement files and any lock/constraint files.
Existing pre-commit and detect-secrets configuration.
Terraform/provider constraints and lockfile policy.
TFLint, AWS ruleset, Checkov and OPA contracts.
Dockerfile and base-image identity.
Qdrant image only if required.
Trivy, Grype, Syft, actionlint and BuildKit requirements.
Every GitHub Action and exact immutable SHA.
For every dependency or action, record:
Exact version/SHA/digest.
Official source and provenance method.
Checksum/signature/attestation handling where available.
Installation/download/network requirements.
External and repository cache paths.
Compatibility and deferred owner verification.
Do not approve floating tags such as @v4, latest or an unpinned container tag. Do not use a TODO where an immutable identity is required.
10.9 Failure, concurrency and lifecycle analysis
Cover:
Duplicate workflow runs and concurrency cancellation.
Partial job/artifact failure.
OIDC denial or wrong subject/audience.
Dependency or action download failure.
Test, secret, IaC-policy or vulnerability failure.
Image/SBOM digest mismatch.
Artifact upload failure.
Timeout and cancellation cleanup.
Docker daemon/build-worker residuals.
TFLint, Terraform, scanner and Python cache residue.
GitHub artifact retention and deletion ownership.
Candidate rejection versus release rollback versus infrastructure rollback versus teardown.
No automatic remediation, apply, destroy, push or deployment is permitted.
10.10 Complete automated-test design
List exact tests to create or update for:
Workflow YAML syntax and exact trigger contract.
Immutable action SHA enforcement.
Least-privilege permissions.
No AWS access-key secret names or long-lived credentials.
Fork/untrusted PR denial before OIDC.
Exact OIDC role/audience/subject/environment contract.
No automatic apply, destroy, push or deployment.
CI speculative-plan non-authority and no sensitive-plan upload.
Required quality/security/IaC stages and ordering/dependencies.
Timeouts and concurrency controls.
Exact tool versions and provenance.
Docker base/service image digest enforcement.
One-image identity across build, scans and SBOMs.
Trivy/Grype critical-vulnerability failure behavior.
Syft SPDX/CycloneDX output requirements.
Redaction and artifact allowlist.
W5-001 formal FAIL visibility and prohibition on live Bedrock PASS claims.
W5-06 prerequisite behavior.
Rollback-disable behavior.
Teardown and zero-residue behavior.
Existing W1–W5 regression consumers.
State which tests are deterministic local/static tests and which require explicit owner opt-in for GitHub, network, Docker or external tools. Do not create skips merely to represent unimplemented external verification.
10.11 Owner TEST-001 execution guide — planned only
Provide an ordered, one-command-at-a-time guide derived from the inspected repository. For every command state:
Topic.
Exact command.
Required working directory and environment.
Required version/access/cache/network prerequisites.
Purpose.
Expected result.
Files/resources created or retained.
Security, privacy, cost and mutation risk.
Stop condition.
Cleanup or rollback action.
The planned order should distinguish:
Baseline and path verification.
Tool/version/provenance verification.
Cache-safe Ruff and formatting checks.
Strict MyPy.
Focused workflow/security/supply-chain tests.
Protected regression tests.
Full ordinary suite.
Platform validation.
actionlint or equivalent workflow validation.
Terraform/TFLint/Checkov/OPA validation required by the workflow contract.
Local Docker build without push.
Trivy/Grype scans of the exact image.
Syft SPDX and CycloneDX generation.
Digest/provenance reconciliation.
Rollback-disable verification.
Cleanup and zero-residue verification.
Final path-boundary verification.
Separately approved GitHub-hosted workflow execution, if authorized.
Do not issue W6-01/ECR push, Terraform apply/destroy, live Bedrock, Kubernetes or deployment commands.
10.12 Security, privacy, cost and operational impact
Cover:
GitHub permissions and OIDC trust.
Fork/untrusted-code protection.
Secret and credential exclusion.
Dependency/action/image supply-chain provenance.
SBOM and vulnerability evidence.
Terraform plan sensitivity.
Log and artifact redaction.
Retention and deletion owners.
Data residency and every external service contacted.
GitHub Actions minutes, artifact storage, network bandwidth and local Docker disk consumption.
Scanner database downloads and cache provenance.
No AWS/provider/model charge unless separately authorized.
No production, SLO, capacity or deployment claim.
Never state USD 0 for owner time, local CPU/disk/bandwidth or GitHub-hosted execution unless the relevant cost is proven.
11. Consolidated owner decisions required
Ask once for all unresolved decisions. For each provide the exact question, recommendation, alternative/trade-off, deferral consequence and gate impact.
At minimum reconcile:
Exact authoritative tracker filename/version and current repository baseline.
W5-003/W5-06 prerequisite status and whether Column L must wait for its final approval.
Exact GHA-001 organization/owner, repository, environment, branches/refs, audience, OIDC provider ARN, role ARN and session duration.
Untrusted/fork PR behavior and prohibition on privileged pull_request_target execution.
Exact workflow filenames, triggers, concurrency groups, timeouts and job permissions.
Exact GitHub Action commit SHAs and official provenance sources.
Python dependency installation and cache policy in the absence or presence of a lock/constraints file.
Exact Terraform, TFLint, Checkov and OPA setup method inside CI, including plugin/provider cache behavior.
Whether a speculative Terraform plan is allowed on trusted PRs; confirm it is never apply authority and cannot be uploaded in sensitive form.
Exact Docker/BuildKit version boundary and builder/cache policy.
Exact base-image digest.
Whether Qdrant is required; if yes, exact digest, health check, network/resource limits and cleanup.
Exact Trivy, Grype, Syft and actionlint versions, installation sources and checksum/signature/attestation verification.
Vulnerability policy: tracker minimum is fail on CRITICAL; decide whether HIGH also blocks and how unfixed/accepted findings are governed.
Exact SBOM formats, filenames, artifact names, size limits and retention days.
Exact redacted artifact allowlist; confirm Terraform plans, raw logs, environment dumps, W5-001 reports, prompts, answers and evidence are prohibited.
Exact deterministic offline RAG smoke/evaluation command and acceptance; confirm no live Bedrock invocation and preserve W5-001 formal FAIL.
Workflow external-execution boundary: local tests only now or later owner-approved GitHub run.
GitHub Actions usage/cost ceiling and stop-work authority.
Rollback, cache retention and teardown ownership.
Exact Column L CREATE/UPDATE/DELETE/VERIFIED UNCHANGED/DEFERRED/EXCLUDED manifest.
Confirmation that W6-01 and docs/deployment-records/W6-image.md remain outside Phase A.
Do not request Column L until every edit-blocking decision, producer, consumer, configured quality gate and residue path is reconciled.
12. Gate 1 response requirements
Return:
Business outcome and measurable acceptance.
Governing baseline and prior-week reconciliation.
Exact prerequisite status and blockers.
Producer-consumer impact matrix.
Workflow/function/connection and trust map.
Exact proposed path manifest.
Schema, artifact and fixture analysis.
Dependency, action, image and tool provenance analysis.
Failure, concurrency, rollback and teardown analysis.
Complete automated-test design.
Planned owner TEST-001 guide without executing it.
Security, privacy, cost and operational impact.
Consolidated owner decisions.
Differences between this revised prompt and the existing tracker prompt.
If W5-003/W5-06 is not final-approved, Gate 1 may complete its analysis but must end:
BLOCKED — W5-003 PREREQUISITE NOT CLOSED — W5-002.
If another required owner value is missing, end:
BLOCKED — REQUIRED OWNER INPUT MISSING — W5-002.
If the repository or governing baseline materially changed during review, end:
BLOCKED — BASELINE CHANGED — W5-002.
Only when all edit-blocking prerequisites and decisions are resolved, end:
READY FOR PRE-EDIT REVIEW — W5-002.
13. Column L — later separate exact approval
Column L must be a separately supplied Code Edit Approval bound to:
The exact current HEAD, branch and complete status.
Every approved action SHA, image digest, tool version and owner input.
Exact CREATE, UPDATE, DELETE and VERIFIED UNCHANGED paths.
Exact patch contexts for every UPDATE path.
Complete deferred and excluded manifests.
W5-001’s preserved formal FAIL.
W5-003/W5-06’s proven prerequisite status.
Column L may authorize only W5-07/W5-08 Phase A implementation and deterministic test code.
It must not authorize:
W6-01 or ECR publication.
A GitHub-hosted workflow run.
Package, action, image or scanner downloads.
Terraform apply/destroy.
Deployment or Kubernetes mutation.
Live Bedrock/model execution.
Documentation/evidence writing.
Excel or Git mutation.
After editing, Codex returns the exact changed-path manifest and ends with the owner-test handoff required by the approved Column L prompt. It must not claim PASS.
14. Owner TEST-001 — separate execution authority
The owner executes every approved command one at a time.
Before each command, Codex states its topic, exact scope, purpose, expected result, network/cache/mutation/cost exposure, created or retained resources and stop condition. After each owner result, classify it as PASS, FAIL, NOT RUN or INDETERMINATE.
On FAIL or INDETERMINATE:
Stop the command sequence.
Preserve the result.
Perform read-only root-cause and full producer-consumer analysis.
Propose one consolidated bounded remediation approval.
Do not patch or rerun automatically.
Local/static success does not prove GitHub-hosted, OIDC, registry, production or cloud behavior.
15. Column M — later exact documentation approval
After owner testing or approved content review, Column M must classify every documentation path from current facts.
Expected Phase A candidates, subject to preflight, are:
docs/test-evidence/W5-002.md
docs/test-evidence/W5-07-ci.txt
docs/test-evidence/W5-08-supply-chain.txt
docs/test-evidence/README.md
The following must remain deferred during Phase A:
docs/deployment-records/W6-image.md
Do not create duplicate legacy evidence such as W5-oidc.txt or W5-supply-chain.txt unless an exact owner reconciliation explicitly changes the canonical paths.
Column M must preserve all PASS, FAIL, NOT RUN and INDETERMINATE results, including W5-001’s formal Bedrock FAIL where it affects deployment eligibility. It must record network activity, downloads, GitHub runs, image/scanner/SBOM identities, cost, warnings, accepted risks, artifact retention, rollback, teardown and residue.
Column M must return one manifest row per created or updated document and reserve Final Owner Approval sections for Column N.
16. Column N — final documentation closure
Column N is a later documentation-only approval after owner review. It must update every Column M document and reconcile the exact manifest count.
The owner must supply:
Reviewer name and role.
Exact decision.
Date, time and timezone.
Accepted warnings, risks and limitations.
PASS, FAIL, NOT RUN and INDETERMINATE facts.
External execution and cost facts.
Deferred actions and owners.
Deployment, rollback, teardown and residual-resource facts.
Approval conditions or None.
Column N must block if a mandatory gate failed, a vulnerability or provenance mismatch remains unaccepted, an artifact is omitted, W6-01 is falsely claimed, W5-001’s formal FAIL is hidden, or a document differs from the owner-reviewed version.
Codex must not edit Excel. After complete Column N closure, instruct the owner to update the tracker.
17. Rollback and teardown boundary
Distinguish:
Candidate rejection: failed CI/supply-chain gates make the candidate ineligible.
Workflow rollback: disable or restore the last approved workflow and narrow/revoke its OIDC trust.
Release rollback: restore a previously approved immutable application digest; not performed in Phase A.
Infrastructure rollback: apply reviewed prior Terraform; not performed in Phase A.
Teardown: remove only task-owned local images, containers, builders, caches and temporary artifacts after evidence requirements are satisfied.
Never use Terraform destroy as ordinary rollback. Never delete shared caches or owner evidence broadly. Record any intentionally retained local image, scanner database, GitHub artifact or external tool cache.
18. Weekly learning handoff
W5-002 is not complete merely because workflow files exist. The Week 5 learning task must teach the owner:
How Git change becomes a governed candidate artifact.
Why OIDC is safer than stored AWS keys.
Why immutable action SHAs and image digests matter.
Why a speculative CI plan is not apply authority.
How Trivy, Grype and Syft complement one another.
How SBOM, scan and image identities are reconciled.
FOUR APPROVAL GATES PLUS </t>
  </si>
  <si>
    <t>READY FOR PRE-EDIT REVIEW — W5-002</t>
  </si>
  <si>
    <t>W5-07, W5-08, W6-01</t>
  </si>
  <si>
    <t>COLUMN L — COMPLETE BOUNDED CODE EDIT APPROVAL — W5-002
1. Approval identity
Prompt ID: W5-002
Tracker steps: W5-07 and W5-08
Feature: GHA-001
Phase: A — CI, trusted speculative plan and candidate supply-chain controls
Expected repository: gprai/enterprize_ai_platform
Approval type: exact code/configuration/IaC/schema/automated-test edit approval
Approved Gate 1 decisions: D1–D24, including final approvals for D7, D8, D9,
D11, D12, D14 and D22
Exact implementation manifest: 19 CREATE, 12 UPDATE, 0 DELETE
This approval authorizes only the exact repository edits in Section 6. It does not authorize
testing, installation, downloads, dependency resolution, lockfile generation, GitHub-hosted
execution, AWS access, Docker execution, scanning, artifact upload, documentation, evidence
writing, Excel modification, Git staging, commit, push, Terraform plan/apply/destroy,
deployment, rollback execution or teardown execution.
Do not rely on another conversation. Re-read this complete contract and the current repository
before editing.
2. Approved business and technical outcome
Implement W5-002 Phase A so that:
an untrusted pull request can run least-privilege quality, secret, IaC-policy and offline
regression checks without receiving an environment, OIDC token, AWS access or deployment
authority;
a separate manually requested, protected-main workflow can use the approved sandbox
environment and exact GitHub OIDC trust contract for a backend-disabled,
refresh-disabled speculative Terraform plan;
one immutable Linux AMD64 OCI candidate archive is built from one exact source commit;
Trivy, Grype and both Syft SBOM formats consume that same candidate identity;
image, scan, SBOM, provenance and eligibility facts reconcile to the same digest;
only allowlisted, bounded, redacted reports become short-lived GitHub artifacts;
every mandatory failure rejects the candidate without automatic remediation or fallback.
This cycle does not publish an image to ECR, deploy an application, apply or destroy Terraform,
perform Kubernetes work, invoke Bedrock, perform production rollback or prove cloud readiness.
W6-01/ECR publication remains outside W5-002 Phase A.
W5-001’s Bedrock evaluation remains formally FAIL. W5-002 must preserve that fact in its
configuration, tests and eligibility output. Successful CI or supply-chain checks must not
convert the model result to PASS or make the candidate deployable.
3. Exact approved baseline
Item
Exact approved value
Repository root
E:\AI\enterprise_ai_platform
Repository remote
https://github.com/gprai/enterprize_ai_platform.git
Branch
main
HEAD
b77b06f907ec55f207474af92396c473771834e6
Workflow directory
.github/ absent
W5-002 lockfiles
All five CREATE targets absent
Excel tracker
Open and owner-controlled; excluded
Excel lock
May appear or disappear; owner-controlled and non-blocking
Approved governing hashes:
Governing source/evidence
SHA-256
ADR-000
49364beca414cf478ce277ddeacc2134021014c5061f4545585f51f4604ada68
Source of Truth v1.1
d4ce5c6d2cbba3704e8f7f385edeb16573cf21e009b1bf7e87914bace03fb04f
Coaching Blueprint
a46596aed881d0c6a7804ff332013a7e72f465be11810b6be8ac1c103380f59d
W5 inputs
0a0653f0f3a9ff83e8514326484e8807ee25cc1032a24d4cd85611a3c9df3687
W5-001 evidence
70d0ed6600303cffc035380bc0ac063d6158ed094fbd3eb82ed78f04a8b10848
W5-003 evidence
9eb2ce6958a1dda0415dfc0778af1c0d024b3bf1debee01b472a518cceb2d188
Tracker last successfully inspected
b9f9ad447c77f7ed2e0d583536b956af2aa4b28783414868367105dd59146ccf
The tracker hash is historical because the workbook was open during Gate 1. Do not treat a
currently unreadable or locked workbook as drift. Do not edit, save, close, hash, stage or
delete it.
Protected owner working-tree state
The completed W5-003 implementation and documentation are pre-existing owner work. Expected
status before W5-002 editing is:
the following 18 W5-003 implementation paths are staged;
docs/test-evidence/README.md contains the approved W5-003 documentation update as an
unstaged tracked modification;
the three W5-003 evidence documents are untracked until later owner Git action;
the Excel workbook and its optional ~$ lock remain owner-controlled.
Protected staged W5-003 implementation paths:
.checkov.yml
policies/opa/exceptions.json
tests/contract/test_policy_exception_contract.py
tests/feature/test_policy_gate.py
tests/rollback/test_policy_pack_rollback.py
tests/security/test_policy_pack.py
tests/teardown/test_policy_pack_cleanliness.py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Protected W5-003 documentation paths:
docs/test-evidence/W5-003.md
docs/test-evidence/W5-06-policy.txt
docs/test-evidence/W5-policy.txt
docs/test-evidence/README.md
Several W5-002 UPDATE paths already contain staged W5-003 changes. Preserve and extend their
current working-tree contents. Never reconstruct them from HEAD, reset their index entries or
overwrite the W5-003 content. A shared path may correctly become MM: the approved W5-003
version remains staged while the W5-002 delta remains unstaged.
4. Mandatory Gate 2 revalidation before editing
Immediately before the first edit:
Confirm repository root, remote, branch and exact HEAD.
Capture complete short status, staged paths, unstaged paths and untracked paths separately.
Reconcile every existing path to the protected W5-003 or owner-controlled Excel boundary.
Confirm all 19 CREATE targets are absent.
Confirm all 12 UPDATE targets exist and re-read their current working-tree content.
Confirm shared W5-003/W5-002 patch contexts are viable without removing staged content.
Re-read every VERIFIED UNCHANGED consumer in Section 7.
Recalculate every readable governing hash above.
Confirm W5-001 formal FAIL and W5-003 completion remain unchanged.
Confirm no W5-002 report, OCI archive, SBOM, plan summary, builder, cache, Terraform runtime
directory, scanner database or unexpected residue exists in the repository.
Confirm no owner change overlaps a W5-002-only target.
If branch, HEAD, remote, path classification, protected content, staged state, patch context,
readable hash or residue differs, edit nothing and return exactly:
BLOCKED — BASELINE CHANGED — W5-002.
Do not absorb a new path, unstage anything, restore from HEAD, guess a patch anchor or resolve
an owner change without new approval.
5. Prerequisites and authority
W5-003/W5-06 is complete through owner testing, Column M and Column N.
W5-04 IAM/OIDC Terraform and local contracts exist. Actual AWS provider and role existence
remain NOT RUN.
Authoritative repository identity: gprai/enterprize_ai_platform.
W5-001 remains formal FAIL; it blocks model/deployment approval but not this implementation.
docs/cost-estimates/W5-inputs.md contains a historical repository spelling and remains
deferred to later documentation approval.
Exact OIDC contract:
Repository: gprai/enterprize_ai_platform
Environment: sandbox
Branch: main
Ref: refs/heads/main
Provider: arn:aws:iam::526338061652:oidc-provider/token.actions.githubusercontent.com
Role: arn:aws:iam::526338061652:role/enterprise-ai-platform-sandbox-github-oidc
Audience: sts.amazonaws.com
Subject: repo:gprai/enterprize_ai_platform:environment:sandbox
Session duration: 900 seconds
No IAM-user key, repository secret, static AWS credential or fallback identity is approved.
6. Exact approved edit manifest
CREATE — exactly 19
.github/workflows/ci.yml
.github/workflows/plan-sandbox.yml
.github/workflows/security-scan.yml
configs/ci/w5-002.json
docker/application.Dockerfile
docker/application.Dockerfile.dockerignore
requirements-runtime.lock
requirements-ci.lock
requirements-checkov.lock
infra/bootstrap/.terraform.lock.hcl
infra/environments/sandbox/.terraform.lock.hcl
tools/w5_002_ci.py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UPDATE — exactly 12
.gitignore
Makefile
pyproject.toml
feature-matrix.yaml
tools/platformctl/validate.py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DELETE — exactly 0
None.
No path may move between classifications without a new owner approval.
Lockfile exception to ordinary editing
These five CREATE paths are part of the manifest but must not be typed, copied, approximated
or invented by Codex:
requirements-runtime.lock
requirements-ci.lock
requirements-checkov.lock
infra/bootstrap/.terraform.lock.hcl
infra/environments/sandbox/.terraform.lock.hcl
Their bytes must come from the owner-controlled Python 3.11.16 and Terraform 1.16.1 generation
process in Section 13. Column L pauses for that separately authorized materialization. Do not
create empty placeholders.
7. VERIFIED UNCHANGED consumers — read-only
.pre-commit-config.yaml
.secrets.baseline
.tflint.hcl
.checkov.yml
requirements.txt
requirements-dev.txt
requirements-checkov.txt
infra/bootstrap/versions.tf
infra/environments/sandbox/versions.tf
infra/environments/sandbox/main.tf
infra/environments/sandbox/variables.tf
infra/environments/sandbox/terraform.tfvars.example
infra/modules/iam/main.tf
infra/modules/iam/variables.tf
infra/modules/iam/outputs.tf
policies/opa/exceptions.json
policies/opa/terraform_plan.rego
policies/opa/terraform_plan_test.rego
tests/contract/test_policy_exception_contract.py
tests/feature/test_policy_gate.py
tests/security/test_policy_pack.py
tests/rollback/test_policy_pack_rollback.py
tests/teardown/test_policy_pack_cleanliness.py
configs/eval/w3-002.yaml
configs/eval/golden.jsonl
configs/eval/baselines/w3-002-v1.json
configs/rag.yaml
configs/rag/versions/w3-002-v1.json
Also preserve every existing W3 evaluation/security/cleanliness test, the application source
package, and existing W2 Dockerfiles and Compose files. If a newly discovered consumer cannot
remain unchanged, stop and request a new manifest approval.
8. Exact UPDATE contexts
Path
Approved bounded change
.gitignore
Add only W5-002 runtime/report exclusions; do not hide tracked locks or unrelated residue
Makefile
Add nine bounded w5-002-* targets plus .PHONY/help; no deploy, apply, destroy, push or remediation target
pyproject.toml
Add tools/w5_002_ci.py to strict MyPy scope only
feature-matrix.yaml
Append GHA-001, status In Progress, linked only to W5-07/W5-08 and approved paths
tools/platformctl/validate.py
Add GHA identity, order, required files and expected paths without weakening validation
tests/unit/test_platformctl.py
Add exact GHA identity/order/path assertions
tests/feature/test_feature_matrix.py
Reconcile the exact tenth feature and ownership assertions
tests/feature/test_w2_002_embedder_contract.py
Extend only the hard-coded feature-ID consumer
tests/feature/test_w2_003_ingestion_contract.py
Extend only the feature tuple/list consumer
tests/integration/test_dependency_contract.py
Add three Python locks, hashed/no-deps installation and isolated Checkov assertions
tests/teardown/test_repository_cleanliness.py
Permit only the two tracked Terraform lockfiles; continue rejecting runtime/state/cache residue
tests/teardown/test_terraform_state_boundary.py
Distinguish tracked provider locks from .terraform/, state, plan and backend residue
Preserve all staged W5-003 content in shared files.
9. Workflow and trust contracts
.github/workflows/ci.yml
Implement unprivileged pull-request CI:
concurrency group w5-002-pr-${{ github.event.pull_request.number }};
cancel older duplicate runs;
top-level permissions: {} and only contents: read for the checkout job;
no pull_request_target, environment, OIDC, AWS role or repository secret;
no Terraform apply/destroy, image push or deployment;
quality timeout 15 minutes;
IaC/offline regression timeout 20 minutes;
only the exact action SHAs in Section 11;
install from approved hash-locked CI and Checkov inputs using
--require-hashes --no-deps;
run quality, secret, Terraform static, TFLint, Checkov, OPA and ordinary offline gates through
explicit bounded commands.
An untrusted or fork PR must never reach the trusted-plan/AWS identity path.
.github/workflows/plan-sandbox.yml
Implement a separate manual trusted-main speculative-plan workflow:
explicit manual trigger only;
concurrency group w5-002-plan-sandbox; cancel older duplicates;
verify exact repository, refs/heads/main, source commit and environment before OIDC;
use protected GitHub environment sandbox;
grant id-token: write only to the plan job with minimum other permissions;
assume only the approved role/audience for 900 seconds;
no static credential or alternate-role fallback;
speculative Terraform plan only, with backend and refresh disabled;
never apply, destroy, import or mutate remote state;
retain no raw plan; upload only the approved redacted summary;
plan timeout 20 minutes;
artifact w5-002-plan-summary, retention 7 days;
reject wrong identity, OIDC denial, expiry, unsafe output, partial policy execution or upload
failure.
Actual GitHub OIDC, AWS role assumption and hosted execution remain NOT RUN until separately
authorized.
.github/workflows/security-scan.yml
Implement the reusable candidate supply-chain workflow:
concurrency group w5-002-supply-chain-${{ github.sha }};
cancel older duplicates;
timeout 30 minutes; maximum complete hosted-run ceiling 60 minutes;
no AWS permission, OIDC, environment, registry login, image push or deployment;
build one Linux AMD64 OCI archive from one source commit using the approved BuildKit;
do not daemon-load or publish it;
run Trivy filesystem plus Trivy/Grype OCI scanning;
generate SPDX JSON and CycloneDX JSON from the same OCI candidate with Syft;
reject every CRITICAL vulnerability;
reject partial scan/SBOM output, digest mismatch, unknown report, oversize artifact, sensitive
output or hidden W5-001 status;
reconcile reports through the strict helper contract;
upload only w5-002-supply-chain, retained 7 days.
No floating action tag, actions/cache, mutable image tag or automatic provider/region/model
substitution is approved.
10. Configuration, schema and artifact contracts
Create configs/ci/w5-002.json as strict canonical JSON with schema:
w5-002.ci-config.v1
It binds repository/ref/environment/OIDC identity, runner/tool versions, action pins, image and
provider identities, vulnerability policy, artifact limits, plan expiry,
qdrant_required=false, and W5-001 formal status FAIL.
Generated schemas:
w5-002.image-identity.v1
w5-002.plan-summary.v1
w5-002.provenance.v1
w5-002.eligibility.v1
Project JSON is UTF-8 without BOM, sorted-key, compact and has exactly one final newline.
Missing, extra, duplicate, malformed, non-finite, expired, sensitive, reordered contractual
lists or digest-mismatched values fail closed.
Approved report allowlist:
reports/w5-002/image-identity.json
reports/w5-002/trivy-filesystem.json
reports/w5-002/trivy-image.json
reports/w5-002/grype-image.json
reports/w5-002/sbom.spdx.json
reports/w5-002/sbom.cyclonedx.json
reports/w5-002/provenance.json
reports/w5-002/eligibility.json
reports/w5-002/terraform-plan-summary.json
Artifact contract:
Supply-chain artifact: w5-002-supply-chain
Plan artifact: w5-002-plan-summary
Retention: 7 days
Maximum per file: 50 MiB
Maximum per run: 100 MiB
Raw plans/logs, environment dumps, source archives, credentials, secrets, prompts, answers,
provider responses and W5-001 reports are prohibited.
tools/w5_002_ci.py is a deterministic, content-safe validation/canonicalization,
plan-summary, allowlist, identity-reconciliation, provenance and eligibility helper. It must not
call AWS, GitHub, Docker, Terraform, scanners or the network. External tools remain workflow or
owner processes; the helper consumes normalized outputs.
11. Exact immutable identities
GitHub Actions
actions/checkout@9c091bb21b7c1c1d1991bb908d89e4e9dddfe3e0
actions/setup-python@5fda3b95a4ea91299a34e894583c3862153e4b97
actions/upload-artifact@043fb46d1a93c77aae656e7c1c64a875d1fc6a0a
hashicorp/setup-terraform@dfe3c3f87815947d99a8997f908cb6525fc44e9e
aws-actions/configure-aws-credentials@e6de054238d6b7531b4efff3b6587d9aade6a06c
docker/setup-buildx-action@d7f5e7f509e45cec5c76c4d5afdd7de93d0b3df5
Python lock resolver
Python: 3.11.16
pip: 26.2.1
pip-tools: 7.6.1
pip-tools source SHA-256: 695556edeb647eb94ee8345cc7108657fdb7fb16b3876623a399b4f61bbede01
Resolver: backtracking
Lock mode: generated hashes
Install mode: --require-hashes --no-deps
Terraform and AWS provider
Terraform: 1.16.1
AWS provider: 6.55.0
Platforms: linux_amd64, windows_amd64
Terraform Linux AMD64 archive SHA-256: 745d33b4b02b7980c62a38ec1beea24ee084ea8caf3f503c200554bd9a0cbe49
Terraform Windows AMD64 archive SHA-256: 5c6c6d8fedf56ce29c55f0c1fc91de3c259f42c2d220a28e827b5b60fd47bfa1
AWS provider Linux AMD64 archive SHA-256: f7383732f8704099db2166a3516e0a803bf46f42c30cd20a0471b55658ae6e51
AWS provider Windows AMD64 archive SHA-256: e1bf63e8a6b9790836f74848b458cdf679a7841e66a25b4b9f6034efc9310b34
BuildKit and application image
BuildKit: v0.30.0
BuildKit Linux AMD64 image: moby/buildkit:v0.30.0@sha256:57269d1784e49b46228c45a1a1b870fbe40e0a639ab60b37b032d83af5bccdfc
BuildKit multi-platform index: sha256:0168606be2315b7c807a03b3d8aa79beefdb31c98740cebdffdfeebf31190c9f
Builder: enterprise-ai-platform-w5-002
Application base: python:3.11.16-slim-bookworm@sha256:b1add8a6f2aca6bcfcf0b9c9b522352f7ce0d62a3d556a2f2f32511aa0cca250
Platform: linux/amd64
Output: OCI archive only
Security, policy and SBOM tools
actionlint: 1.7.12 — E:\AI\.tools\actionlint\1.7.12\actionlint.exe
Trivy: 0.74.0 — E:\AI\.tools\trivy\0.74.0\trivy.exe
Grype: 0.118.0 — E:\AI\.tools\grype\0.118.0\grype.exe
Syft: 1.51.1 — E:\AI\.tools\syft\1.51.1\syft.exe
OPA: 1.20.0 — E:\AI\.tools\opa\1.20.0\opa.exe
TFLint: 0.60.0 — E:\AI\.tools\tflint\0.60.0\tflint.exe
TFLint AWS ruleset: 0.48.0
Checkov: 3.3.16 — E:\AI\.venvs\enterprise-ai-platform-checkov-3.3.16
No unapproved action/tool/image identity or floating reference is permitted. No installation,
download, extraction or provenance lookup is authorized by Column L.
12. Dockerfile and build-context contract
docker/application.Dockerfile must use the exact base digest, install only
requirements-runtime.lock with --require-hashes --no-deps, use deterministic no-cache
behavior, run as a fixed non-root user, copy only minimum runtime content, contain no credential
or secret build argument, and add no registry push/deployment behavior.
docker/application.Dockerfile.dockerignore must exclude Git metadata, local environments,
non-runtime tests/docs/Terraform, reports, caches, state, plans, secrets, Excel/Office files and
W5-001 evidence. It must not hide a required runtime file.
One OCI archive is authoritative. Every image scanner and SBOM generator consumes that same
archive and digest. Separate rebuilds are prohibited.
13. Owner-controlled five-lockfile materialization gate
Column L has three phases.
L1 — Deterministic edits
After Gate 2, create/update only approved non-lockfile paths. Keep all five lockfiles absent.
Do not create placeholders or dependency hashes.
After L1, return the completed non-lockfile manifest, confirm the five absences, and provide the
complete owner lock-generation guide with each command’s purpose, expected output,
network/cache/provenance impact and stop condition. End exactly:
LOCKFILE MATERIALIZATION REQUIRED — W5-002.
This required pause does not authorize the owner commands.
L2 — Separately authorized owner generation
Use only:
Python environment: E:\AI\.venvs\enterprise-ai-platform-w5-002-py311
Python version: 3.11.16
pip version: 26.2.1
pip-tools version: 7.6.1
PIP_CACHE_DIR: E:\AI\.pip-cache\enterprise-ai-platform-w5-002
Terraform version: 1.16.1
TF_PLUGIN_CACHE_DIR: E:\AI\.terraform-cache\enterprise-ai-platform-w5-002
Terraform platforms: linux_amd64, windows_amd64
Generate independently:
requirements-runtime.lock from requirements.txt;
requirements-ci.lock from requirements-dev.txt;
requirements-checkov.lock from requirements-checkov.txt;
infra/bootstrap/.terraform.lock.hcl from the bootstrap root;
infra/environments/sandbox/.terraform.lock.hcl from the sandbox root.
Python locks use backtracking resolution and generated hashes. Installation later uses
--require-hashes --no-deps. Terraform locks record AWS provider 6.55.0 for both platforms
and are reviewed against the approved official hashes.
Generation may contact PyPI and the HashiCorp registry and create only the approved external
caches/temp paths. It requires explicit owner installation/network approval. Version, hash,
signature, provenance or platform mismatch is a hard stop.
L3 — Verification and continuation
After owner L2 completion, require renewed continuation approval. Revalidate the full baseline,
confirm only the five expected files appeared, validate every exact hashed Python dependency,
reconcile each input, confirm Terraform/AWS-provider versions and both platforms, compare the
approved official hashes, and confirm no .terraform/, venv, report, plan, state or cache
entered the repository.
If anything differs, stop without editing and return:
BLOCKED — LOCKFILE MATERIALIZATION MISMATCH — W5-002.
W5-002 is not ready for TEST-001 until L3 passes and all 31 paths are complete.
14. Automated-test contract
The seven new test files must cover:
tests/unit/test_w5_002_ci.py: strict JSON/canonical serialization, four schemas, immutable
identities, artifact bounds, digest reconciliation, safe errors, deterministic ordering and
W5-001 FAIL preservation.
tests/contract/test_w5_002_workflow_contract.py: YAML, triggers, permissions, action SHAs,
concurrency, timeouts, trust separation, OIDC, hashed installs and artifact contracts.
tests/integration/test_w5_002_ci_composition.py: config/helper/workflow/Make/feature
composition, secure normalized fixtures, lock consumers and fail-closed partial output.
tests/feature/test_w5_002_supply_chain.py: one candidate across BuildKit/scans/SBOMs,
CRITICAL rejection, stale/missing/mismatched results, limits and eligibility.
tests/security/test_w5_002_ci_security.py: untrusted-PR zero privilege, denial before OIDC,
no static credentials, exact trust, safe artifacts, injection resistance and redaction.
tests/rollback/test_w5_002_workflow_rollback.py: safe workflow-disable/revert boundary with
no state, AWS, publication, evidence or unrelated mutation.
tests/teardown/test_w5_002_cleanliness.py: no repository archive, report, plan, state,
.terraform, scanner database, builder, cache, bytecode or temp residue.
Never commit a complete synthetic secret-shaped value. Construct it only at runtime from safe
fragments, never print it, retain it only under the approved external test temp, and verify
detection, redaction and cleanup.
Updated tests retain all existing assertions. Local/static tests do not prove hosted workflows,
OIDC, AWS, vulnerability-database freshness, Docker build, upload/retention, Terraform plan or
deployment.
15. Failure, concurrency and lifecycle rules
Wrong repository/ref/environment stops before OIDC.
Fork/untrusted PR receives no environment, OIDC, AWS, secret or privileged workflow.
OIDC denial is FAIL; no static credential fallback.
Dependency/action/tool resolution failure is bounded then FAIL; no floating fallback.
Test, secret, IaC-policy or CRITICAL vulnerability failure rejects the candidate.
Missing, partial, malformed, expired, oversize or digest-mismatched output is FAIL.
OPA/Checkov disagreement or partial execution is FAIL.
Sensitive/unapproved output is not uploaded; upload failure is FAIL.
Hiding, weakening or converting W5-001 status is a hard failure.
Cancellation performs only bounded task-owned cleanup; no replacement work.
No failure triggers remediation, apply/destroy, deployment or cloud rollback.
Workflow rollback means disable/revert or reject the candidate.
Release and infrastructure rollback remain NOT RUN.
Teardown removes only W5-002 builder/archive/reports/caches/temp-plan data after evidence and
approval.
Use the exact concurrency/timeouts in Section 9. No unbounded queue, retry loop, parallel
rebuild or second candidate identity.
16. Approved external environment and residue boundaries
These values are for later separately approved owner setup/TEST-001. Column L must not create,
execute, install into or clean them:
$repoRoot = 'E:\AI\enterprise_ai_platform'
$taskPython = 'E:\AI\.venvs\enterprise-ai-platform-w5-002-py311\Scripts\python.exe'
$taskScripts = 'E:\AI\.venvs\enterprise-ai-platform-w5-002-py311\Scripts'
$checkovPython = 'E:\AI\.venvs\enterprise-ai-platform-checkov-3.3.16\Scripts\python.exe'
$checkovCli = 'E:\AI\.venvs\enterprise-ai-platform-checkov-3.3.16\Scripts\checkov'
$actionlint = 'E:\AI\.tools\actionlint\1.7.12\actionlint.exe'
$trivy = 'E:\AI\.tools\trivy\0.74.0\trivy.exe'
$grype = 'E:\AI\.tools\grype\0.118.0\grype.exe'
$syft = 'E:\AI\.tools\syft\1.51.1\syft.exe'
$opa = 'E:\AI\.tools\opa\1.20.0\opa.exe'
$tflint = 'E:\AI\.tools\tflint\0.60.0\tflint.exe'
$env:PIP_CACHE_DIR = 'E:\AI\.pip-cache\enterprise-ai-platform-w5-002'
$env:PRE_COMMIT_HOME = 'E:\AI\.pre-commit-cache\enterprise-ai-platform-w5-002'
$env:TF_PLUGIN_CACHE_DIR = 'E:\AI\.terraform-cache\enterprise-ai-platform-w5-002'
$env:TFLINT_PLUGIN_DIR = 'E:\AI\.tflint-cache\enterprise-ai-platform-w5-002'
$env:TEMP = 'E:\AI\.tmp\enterprise-ai-platform-w5-002\owner-test-01'
$env:TMP = $env:TEMP
$taskPytestBaseTemp = 'E:\AI\.tmp\enterprise-ai-platform-w5-002\owner-test-01\pytest'
$dockerCache = 'E:\AI\.docker-cache\enterprise-ai-platform-w5-002'
$runtimeRoot = 'E:\AI\.runtime\enterprise_ai_platform\w5-002\owner-test-01'
$env:TRIVY_CACHE_DIR = Join-Path $runtimeRoot 'trivy-cache'
$env:GRYPE_DB_CACHE_DIR = Join-Path $runtimeRoot 'grype-db'
$env:Path = "$taskScripts;$env:Path"
Set-Location -LiteralPath $repoRoot
No cache/runtime path may be inside the repository. W5-001 reports, W5-003 evidence and all
shared/previous-task caches are protected. Never broadly delete a parent directory.
17. Planned owner TEST-001 guide — not authorized by Column L
After L3, return all owner TEST-001 commands together, grouped by topic. Each topic must state
purpose, exact command, expected result, cost/access/privacy impact, residue and stop condition.
The guide begins with Section 16’s block, then:
&amp; $taskPython --version
(Get-Command python -ErrorAction Stop).Source
(Get-Command detect-secrets-hook -ErrorAction Stop).Source
&amp; $taskPython -B -m pre_commit --version
&amp; $taskPython -m pip show detect-secrets
&amp; $taskPython -B -m pip check
&amp; $checkovPython -B -m pip check
&amp; $actionlint -version
&amp; $trivy --version
&amp; $grype version
&amp; $syft version
&amp; $opa version
&amp; $tflint --version
terraform version
docker version
Every Pytest command uses --basetemp $taskPytestBaseTemp.
Required topic order:
environment/executable provenance;
branch, HEAD, remote and complete staged/unstaged/untracked boundary;
owner-authorized exact external directory creation;
dependency consistency and all five locks;
configuration/canonical JSON validation;
scoped Ruff lint and format check over changed Python paths;
LF and git diff --check;
strict MyPy without repository cache;
focused seven-file W5-002 suite;
changed feature/platform/dependency/cleanliness consumers;
protected W3 offline regression;
full ordinary Pytest with AWS/paid exclusions unchanged;
platform validation;
actionlint over the three workflows;
Terraform format, backend-disabled read-only initialization and validation for both roots;
TFLint, Checkov and OPA local policy validation;
separately approved BuildKit one-OCI build without load/push;
Trivy filesystem/OCI scans;
Grype scan of the same OCI;
Syft SPDX/CycloneDX from the same OCI;
helper digest/provenance/report/eligibility reconciliation;
workflow-disable rollback test;
exact cleanup and zero residue;
final paths/status/whitespace/line endings/hashes/secret scan;
separate Git approval before exact staging/pre-commit;
optional hosted run only under new explicit approval.
Focused command:
&amp; $taskPython -B -m pytest -q `
  --basetemp $taskPytestBaseTemp `
  .\tests\unit\test_w5_002_ci.py `
  .\tests\contract\test_w5_002_workflow_contract.py `
  .\tests\integration\test_w5_002_ci_composition.py `
  .\tests\feature\test_w5_002_supply_chain.py `
  .\tests\security\test_w5_002_ci_security.py `
  .\tests\rollback\test_w5_002_workflow_rollback.py `
  .\tests\teardown\test_w5_002_cleanliness.py
Workflow static validation:
&amp; $actionlint `
  .\.github\workflows\ci.yml `
  .\.github\workflows\plan-sandbox.yml `
  .\.github\workflows\security-scan.yml
Required local/static commands must also include:
git rev-parse --show-toplevel
git remote get-url origin
git branch --show-current
git rev-parse HEAD
git status --short --untracked-files=all
git diff --name-only
git diff --cached --name-only
$changedPythonPaths = @(
  'tools/w5_002_ci.py',
  'tools/platformctl/validate.py',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
&amp; $taskPython -B -m ruff check --no-cache -- $changedPythonPaths
&amp; $taskPython -B -m ruff format --check --no-cache -- $changedPythonPaths
&amp; $taskPython -B -m mypy --no-incremental --cache-dir=nul --show-traceback
&amp; $taskPython -B -m pytest -q `
  --basetemp $taskPytestBaseTemp `
  .\tests\unit\test_platformctl.py `
  .\tests\feature\test_feature_matrix.py `
  .\tests\feature\test_w2_002_embedder_contract.py `
  .\tests\feature\test_w2_003_ingestion_contract.py `
  .\tests\integration\test_dependency_contract.py `
  .\tests\teardown\test_repository_cleanliness.py `
  .\tests\teardown\test_terraform_state_boundary.py
&amp; $taskPython -B -m pytest --basetemp $taskPytestBaseTemp
&amp; $taskPython -B -m tools.platformctl validate
terraform fmt -check -recursive .\infra
terraform -chdir=.\infra\bootstrap init -backend=false -lockfile=readonly
terraform -chdir=.\infra\bootstrap validate
terraform -chdir=.\infra\environments\sandbox init -backend=false -lockfile=readonly
terraform -chdir=.\infra\environments\sandbox validate
&amp; $tflint --chdir=.\infra\bootstrap
&amp; $tflint --chdir=.\infra\environments\sandbox
&amp; $checkovCli --config-file .\.checkov.yml -d .\infra
&amp; $opa check --strict .\policies\opa
&amp; $opa test .\policies\opa --verbose
git diff --check
git status --short --untracked-files=all
The two Terraform init commands may create .terraform/ directories even with
-lockfile=readonly. They therefore require the approved external plugin-cache boundary and
must be followed by exact task-owned cleanup; inability to keep or clean them within the
approved lifecycle is a stop. They do not authorize a plan, apply, destroy, backend access or
AWS call.
Do not issue a Docker build, scanner database download, hosted workflow, OIDC, AWS or upload
command until its external/network/runtime approval is explicit. Local TEST-001 approval does
not authorize them.
Classify each result PASS, FAIL, NOT RUN or INDETERMINATE; record skips, deselections and
warnings separately. Stop on first mandatory failure. Only read-only diagnosis is then allowed;
remediation requires a new bounded approval.
If sandbox access alone blocks an external path, classify execution-environment failure, not
product failure; do not change source. Format precedes integrity hashes. Any final
detect-secrets candidate stays outside the repository and exposes only version, plugin/fil</t>
  </si>
  <si>
    <t>COLUMN M — EXACT DOCUMENT WRITING APPROVAL — W5-002
This is a separate, owner-controlled documentation approval following W5-002 implementation and owner testing.
W5-002 remains formally **FAIL** at the mandatory OCI vulnerability gate. The successful SBOM generation does not change the failed security-gate result, make the candidate eligible, or establish production readiness.
## 1. Permission boundary
This approval authorizes documentation changes only.
It does not authorize:
- Application, test, configuration, workflow, dependency, Dockerfile, IaC, policy, or schema changes.
- Test execution or remediation.
- Rebuilding or rescanning an image.
- Regenerating or modifying either SBOM.
- Provenance generation or eligibility reconciliation.
- Network, AWS, OIDC, Terraform plan/apply, deployment, rollback, or teardown activity.
- Package or tool installation.
- Evidence deletion or cleanup.
- Excel tracker changes.
- Git staging, commit, push, merge, tag, or release.
- Starting W5-003 or another task.
Preserve all unrelated owner-controlled changes.
## 2. Exact documentation manifest
Classify every authorized path under one—and only one—heading.
### CREATE — 3
- `docs/test-evidence/W5-002.md`
- `docs/test-evidence/W5-07-ci.txt`
- `docs/test-evidence/W5-08-supply-chain.txt`
### UPDATE — 1
- `docs/test-evidence/README.md`
### DELETE — 0
None.
### VERIFIED UNCHANGED
- `docs/deployment-records/W6-image.md`
This file remains deferred and must not be created or modified.
### EXCLUDED
Every repository path not listed under CREATE or UPDATE is excluded, including:
- Application source code.
- Automated tests.
- GitHub Actions workflows.
- Dockerfiles and container configuration.
- Terraform, OPA, Checkov and TFLint files.
- Dependency and lock files.
- Generated reports and retained evidence.
- SPDX and CycloneDX SBOM artifacts.
- Excel trackers and Office lock files.
- Git state and repository history.
## 3. Mandatory read-only preflight
Before writing:
1. Confirm all three CREATE paths are absent.
2. Confirm `docs/test-evidence/README.md` exists and re-read its current content.
3. Confirm `docs/deployment-records/W6-image.md` will remain unchanged.
4. Re-read the owner-supplied W5-002 results and the retained evidence metadata.
5. Confirm no target path or governing fact has materially changed.
6. Preserve all existing final approvals and historical results.
7. Stop without editing if:
   - A CREATE target already exists.
   - The README baseline has materially changed.
   - An owner fact conflicts with available evidence.
   - Any additional documentation path appears necessary.
   - Any result would have to be inferred or invented.
Do not run commands, tests, scanners, formatters, builds, applications, containers, or external calls during Column M.
## 4. Governing W5-002 result
Record the final disposition exactly:
&gt; **W5-002 TEST-001 — FAIL**
The testing cycle is closed, but the result remains FAIL because no evaluated OCI candidate passed the mandatory zero-critical-vulnerability gate.
Do not convert the result to:
- PASS
- PASS WITH WARNINGS
- APPROVED
- ELIGIBLE
- PRODUCTION READY
The candidate OCI image remains:
- **Rejected**
- **Ineligible**
- **Not approved for release or deployment**
No critical-CVE waiver or exception was granted.
## 5. Local validation results
Record the owner-reported local validation results exactly as supplied.
Include all confirmed PASS results for:
- Pytest and focused automated tests.
- Ruff lint and formatting checks.
- Strict MyPy.
- Platform contract validation.
- Terraform formatting.
- Terraform bootstrap validation.
- Terraform sandbox validation.
- Checkov.
- OPA policy tests.
- TFLint and its approved AWS ruleset.
- Workflow, security, rollback and cleanliness checks that were actually executed.
- Terraform initialization-residue cleanup already reported as PASS.
Preserve exact counts and tool versions where supplied by the owner evidence.
Do not infer PASS for any unreported command or activity.
## 6. Mandatory OCI vulnerability findings
Record the vulnerability evidence without weakening or reinterpreting it:
### Bookworm candidate
- Trivy reported **5 critical findings**.
- Candidate failed the mandatory security gate.
### Trixie/`slim` candidate
- Trivy reported **3 critical findings**.
- The remaining findings were attributed to Debian’s `perl-base`.
- No currently fixed version was reported for the complete finding set.
- One fix remained deferred.
- Changing to Trixie reduced the finding count but did not satisfy the zero-critical gate.
Also record:
- Application code was not identified as the source of these critical findings.
- Python application dependencies were not identified as their source.
- No tested candidate passed the mandatory gate.
- No approved replacement base-image digest exists.
- Retesting is deferred until a compatible fixed Debian/Python base-image digest becomes available.
- Research into a different base-image family requires a separate compatibility and approval cycle.
- No time-bounded or permanent critical-CVE waiver was granted.
## 7. OCI-layout remediation history
Preserve the historical sequence:
- The initial Trivy OCI-layout operation failed.
- The issue was remediated within the approved boundary.
- The OCI-layout scan was rerun successfully.
- The successful scanner execution still reported release-blocking critical vulnerabilities.
- Therefore, successful scanner operation did not make the image eligible.
Historical failures must remain recorded and must not be rewritten as if they never occurred.
## 8. Completed SBOM evidence
The earlier SBOM `NOT RUN` classification is superseded by the following owner-approved and completed evidence generation.
Record both artifacts as successfully generated and retained.
### SPDX SBOM
- Specification: **SPDX 2.3**
- Package count: **261**
- File size: **1,914,593 bytes**
- SHA-256:
  `cb997284ba6ef99e522d5b4c6bff6d8df5799eb39849f50d6254a0b59b7af3b2`
### CycloneDX SBOM
- Specification: **CycloneDX 1.7**
- Component count: **792**
- File size: **876,144 bytes**
- SHA-256:
  `bdbbaa8e41b253771a4a2337cb284b5ef534c5ab42225a74d9ee466aab39637d`
### SBOM generation facts
- Syft version: **1.51.1**
- Source OCI SHA-256 remained unchanged:
  `ac4be6c885c21414b508f75f39b65f370109fb317bebe57000d777908ba329ba`
- Network activity: **None**
- Syft’s optional user-cache creation was denied by the execution sandbox.
- The cache denial was non-blocking.
- No Syft user cache was created.
- Both SBOMs and their supporting evidence are retained.
- SBOM generation does not override the failed vulnerability gate.
- SBOM generation does not prove provenance, release eligibility, image safety, or production readiness.
Do not reproduce the complete SBOM contents in the documentation. Record only the approved metadata, hashes, counts, status, limitations, and evidence locations supplied by the owner.
## 9. Work remaining NOT RUN
Record these distinctly as `NOT RUN`, without converting them to PASS:
- Provenance generation.
- Provenance verification.
- Final candidate-eligibility reconciliation.
- GitHub-hosted workflow execution.
- GitHub OIDC federation.
- AWS authentication or account activity.
- Terraform plan.
- Terraform apply.
- Container registry push.
- Application deployment.
- Production execution.
- Infrastructure rollback.
- Cloud teardown.
- Production SLO, performance, capacity, availability, or cost verification.
SBOM generation is no longer in this list.
## 10. W5-07 CI evidence
In `docs/test-evidence/W5-07-ci.txt`, record:
- Which local CI/workflow contract and security checks passed.
- Which GitHub-hosted workflow activities remain NOT RUN.
- OIDC and AWS activities remain NOT RUN.
- No image was pushed or deployed.
- Local PASS results do not prove hosted-runner or production behavior.
- The final W5-002 result remains FAIL because the OCI security gate is mandatory.
## 11. W5-08 supply-chain evidence
In `docs/test-evidence/W5-08-supply-chain.txt`, record:
- Candidate OCI identity and rejected status.
- Bookworm and Trixie critical-vulnerability results.
- Trivy OCI-layout failure, remediation and successful rerun.
- Successful SPDX and CycloneDX SBOM generation.
- Exact Syft version, counts, sizes and hashes.
- Unchanged source OCI SHA-256.
- No network activity during SBOM generation.
- Non-blocking Syft cache-denial fact.
- Provenance and final eligibility reconciliation as NOT RUN.
- No approved replacement digest.
- No CVE waiver.
- Candidate remains ineligible.
## 12. Aggregate W5-002 record
In `docs/test-evidence/W5-002.md`, include:
1. Business outcome.
2. Implementation boundary.
3. Owner testing summary.
4. Local quality and policy PASS results.
5. Historical failures and successful remediations.
6. Mandatory OCI security-gate FAIL.
7. Bookworm and Trixie findings.
8. Candidate identity and rejected/ineligible status.
9. Completed SPDX and CycloneDX SBOM evidence.
10. Provenance and eligibility work still NOT RUN.
11. Accepted warnings, skips and deselections.
12. Security and release limitations.
13. Deployment, rollback and teardown status.
14. Retained resources and cleanup ownership.
15. W5-001 formal FAIL remaining unchanged.
16. Final owner-review requirements.
17. Tracker-update responsibility remaining owner-only.
Use business-first language, but preserve all technical facts and formal classifications exactly.
## 13. README update
Update `docs/test-evidence/README.md` only to:
- Add the three new W5-002 evidence documents to the index.
- Record W5-002 as **FAIL**, not PASS.
- Record the candidate as rejected and ineligible.
- Record SBOM generation as completed.
- Record provenance and eligibility reconciliation as NOT RUN.
- Preserve W5-001’s existing formal FAIL.
- Preserve all unrelated evidence entries and approvals unchanged.
## 14. Warnings, skips and historical results
Preserve exactly:
- The accepted Starlette/httpx deprecation warning.
- All approved skipped and deselected tests.
- All historical failures and their successful remediation reruns.
- No open result may be silently deleted or reclassified.
- Successful remediation of a tool failure does not erase the historical failure.
- A completed testing cycle does not mean a PASS result.
## 15. Retained resources and cleanup
Record cleanup as:
&gt; **DEFERRED / NOT RUN**
Record all owner-reported retained resources, including as applicable:
- OCI evidence and layouts.
- SPDX and CycloneDX SBOM files.
- Vulnerability reports.
- Test and verification reports.
- Builder state.
- Archives.
- Tool caches.
- Temporary workspaces.
- Images.
- Locally installed tools.
- Reusable CI volume.
- Other explicitly retained W5-002 evidence.
Also record:
- Syft’s optional user cache was not created.
- No cloud resource was created.
- Cloud residual resources: none.
- Retained local artifacts remain under owner control.
- No deletion is authorized by Column M.
- Final cleanup or continued retention requires an explicit owner decision during Column N or a separate cleanup approval.
## 16. Cost, privacy and production limitations
Record:
- No production, cloud, deployment, or SLO claim is established.
- No network activity occurred during the approved SBOM generation.
- No AWS resource was created, changed, or deleted.
- Local CPU, storage and owner time are not represented as zero.
- No credentials, secrets, protected business data, or raw provider responses should be copied into documentation.
- The SBOMs describe the rejected candidate and do not certify it as safe or releasable.
## 17. Relationship to W5-001
Record explicitly:
- W5-001’s formal FAIL remains unchanged.
- W5-002 documentation does not reopen, supersede, or convert W5-001’s result.
- Neither task currently establishes production readiness.
## 18. Final Owner Approval section
Create a clearly labeled `Final Owner Approval` section in each of the four manifest documents.
Leave the following pending for Column N unless already supplied exactly by the owner:
- Reviewer.
- Final decision.
- Approval date and time.
- Timezone.
- Acceptance of the W5-002 FAIL result.
- Acceptance of the rejected/ineligible candidate.
- Acceptance of retained local resources.
- Cleanup owner and later cleanup decision.
- Confirmation that no CVE waiver was granted.
- Confirmation that tracker mutation remains owner-only.
Do not invent an approval timestamp or mark final owner approval complete during Column M.
## 19. Mandatory Column M response
After writing, return:
### COLUMN M APPROVED DOCUMENT MANIFEST — W5-002
Include one row per created or updated document with:
- Exact path.
- Classification.
- Purpose.
- Owner results recorded.
- Final PASS/FAIL status.
- Vulnerability findings.
- SBOM status.
- Provenance/eligibility status.
- Risks and evidence gaps.
- Deployment status.
- Rollback and teardown status.
- Retained resources.
- Fields pending Column N.
- Location of the Final Owner Approval section.
- Column N closure requirement.
Also report:
- CREATE count: 3
- UPDATE count: 1
- DELETE count: 0
- Unexpected document paths: 0
- W5-002 TEST-001: FAIL
- SBOM generation: COMPLETED
- Provenance/eligibility reconciliation: NOT RUN
- Cleanup: DEFERRED / NOT RUN
- Candidate: REJECTED / INELIGIBLE
- Documentation final approval: PENDING COLUMN N
End exactly:
DOCUMENTATION READY FOR OWNER REVIEW — W5-002.</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</si>
  <si>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</si>
  <si>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MAIN PROMPT — W5-003 / W5-06 — OPA AND CHECKOV POLICY PACK
Governing tracker
Tracker: Enterprise_AI_Architecture_6_Week_Execution_Tracker_v1.3.5.xlsx
Prompt ID: W5-003
Tracker step: W5-06
Week: Week 5
Task type: bounded implementation followed by owner testing and separately approved documentation
Current authority: Main Prompt — read-only planning and inspection only
This prompt is a self-contained owner-controlled contract. Do not rely on approvals, paths,
environment details, test results or decisions from another conversation. Re-establish every
current fact from the repository and governing records.
1. Task identity and business purpose
Implement the final W5-06 OPA and Checkov policy-as-code pack so that critical AWS and
Terraform architecture controls are evaluated consistently before any infrastructure apply.
The policy pack must:
deny insecure or non-compliant Terraform-plan-shaped input;
permit compliant input;
support only explicit, narrow, time-bound and owner-approved exceptions;
produce safe findings containing the rule, affected Terraform resource address and
remediation guidance;
avoid exposing secrets, sensitive values, provider payloads or complete Terraform plans;
remain deterministic, locally testable, offline and independent of GitHub Actions;
become the approved policy producer that W5-002/W5-07 later connects to CI.
Business value:
security and governance decisions become executable rather than advisory;
insecure infrastructure is stopped before AWS resources or cost are created;
reviewers receive consistent and auditable reasons for every denial;
exceptions cannot silently become permanent bypasses;
W5-002 can later consume a completed policy pack without circular ownership;
rollback restores the last approved policy version without changing cloud resources.
Measurable acceptance:
every approved secure fixture passes;
each insecure fixture fails for the intended rule;
a disabled, bypassed or unevaluated policy is detected as a test failure;
OPA and Checkov do not contradict one another for overlapping controls;
expired, malformed, overly broad, duplicated or unauthorized exceptions fail closed;
findings are deterministic, content-safe and actionable;
all local quality, security, policy, rollback and cleanliness tests pass under owner
TEST-001;
no Terraform plan/apply/destroy, AWS call, GitHub workflow or deployment is required.
2. Exact tracker position and dependency reconciliation
Upstream tracker dependency
W5-06 depends on W5-03 through W5-05.
Repository evidence supplied before this prompt records that W5-001 implemented and tested
the relevant foundations:
W5-03 security foundation: KMS, private/versioned S3 and secret-metadata controls;
W5-04 IAM foundation: separated roles, bounded trust and reviewed wildcard/resource rules;
W5-05 platform foundation: private encrypted OpenSearch and immutable ECR design;
Terraform formatting and validation passed for both approved roots;
Checkov 3.3.16: 226 passed, 0 failed, 20 skipped after approved remediation;
OPA 1.20.0: 6/6 foundation policy tests passed;
TFLint 0.60.0 with AWS ruleset 0.48.0: owner-reported PASS;
W5-001 Column N closed the approved evidence documents on
2026-09-04 14:27:21 SGT.
Gate 1 must re-read the canonical W5-03, W5-04 and W5-05 evidence and confirm that they
authorize the current W5-06 input contract. The tracker cells may still show Not Started;
newer final-approved repository evidence governs implementation facts, while the owner alone
updates the tracker.
Downstream tracker dependency
W5-07 consumes W5-06. Therefore:
.github/workflows/security-scan.yml is a future W5-002 downstream consumer;
its absence does not block W5-003;
W5-003 must not create or edit GitHub workflows;
W5-003 completion must not claim that CI execution occurred;
W5-002 will later connect this final-approved pack to CI.
This explicitly resolves the inactive tracker-template circularity without changing the
original dependency order:
W5-03:W5-05 → W5-06/W5-003 → W5-07/W5-002.
3. Reconciled prior implementation and evidence facts
Preserve these facts until Gate 1 confirms or reports drift:
Weeks 1–4
The Week 1–4 local architecture foundations, RAG, guardrails, API, agent, telemetry,
failure/load tests and configuration rollback were implemented, owner-tested, documented
and approved through their respective gates.
The last Week 4 ordinary-suite closure recorded 724 passed, 7 skipped, and
4 deselected.
The W3-002 immutable evaluation baseline remains protected and must not be modified.
W1-08/SEC-003 subsequently established .pre-commit-config.yaml,
.secrets.baseline, runtime-constructed synthetic secret fixtures and owner-controlled
secret scanning.
W5-INPUTS-001
The non-secret W5 sandbox inputs and owner decision record were created and approved.
The approved primary AWS Region is ap-southeast-1.
Bedrock processing uses the separately approved Global Cross-Region policy label; that
label must not broaden the allowed Terraform infrastructure Region.
The authoritative GitHub repository is gprai/enterprize_ai_platform. It is relevant only
as a later CI consumer and must not be used to authorize a W5-003 GitHub or AWS call.
Gate 1 must read the current owner-approved tag, encryption, IAM, network, retention,
deletion and exception values from their canonical repository producers. Do not infer them
from this summary.
W5-001
Local quality validation passed: Pytest 798 passed, 7 skipped, 4 deselected, and
10 subtests; Ruff PASS; MyPy PASS across 107 source files; platform validation PASS.
Terraform formatting, bootstrap validation and sandbox validation passed.
Checkov, OPA and TFLint results are recorded above.
No Terraform plan/apply, infrastructure deployment, cloud rollback or cloud teardown ran.
The Bedrock owner verification utility operated correctly, but the final live evaluation
result remains FAIL because Amazon Nova 2 Lite weakened or omitted mandatory policy
wording in Q15, Q18 and Q22. Owner acceptance of this model limitation does not convert it
to PASS or establish production readiness.
W5-001’s Bedrock FAIL does not block local W5-003 policy implementation or deterministic
testing. It continues to block model promotion, Terraform apply, deployment and production
readiness.
Current pre-commit/staging warning
The last owner report after the clean W5 baseline stated that a commit was blocked because:
two AWS-shaped synthetic failure-test fixtures required runtime-construction remediation;
two SHA-256 checksums were scanner findings but not credentials;
Ruff reported eight mechanically unformatted files;
the failed commit created no commit and the approved files remained staged.
Do not assume this remediation is complete. Gate 1 must capture the actual current branch,
HEAD, staged state, unstaged state and untracked paths. Any overlapping staged owner change is
protected. A current Excel workbook or Office ~$ lock file is owner-controlled,
non-blocking and excluded.
4. Approval gates and authority boundaries
Keep these permissions separate:
Main Prompt / Gate 1: read-only repository, evidence and local-environment inspection.
Column L: exact code, configuration, IaC, schema and automated-test edits only.
TEST-001: owner execution unless an explicit temporary Codex execution override is
separately supplied.
Column M: exact approved documentation paths only.
Column N: bounded documentation closure only.
Tracker update: owner-only action after complete closure.
No approval to test authorizes editing, installation, staging, committing, pushing,
documentation, deployment, remediation, rollback or teardown. No approval to edit authorizes
execution. Never use --no-verify.
5. Gate 1 — authorized read-only activity
Gate 1 may:
inspect repository files, Git metadata and status;
hash governing inputs and protected evidence;
inspect local executable/package metadata without installation or network access;
search exact producers, consumers, duplicated literals, constructors and validators;
inspect pre-commit, Checkov, OPA, TFLint, Terraform, Ruff, MyPy and Pytest configuration;
identify task-specific caches, temporary paths and residue read-only;
prepare a complete impact analysis, proposed manifest, test design and consolidated owner
decisions.
Gate 1 must not:
create, edit, format or delete repository content;
run tests, policies, linters, scanners, pre-commit hooks, Terraform or applications;
install or download anything;
contact GitHub, AWS, registries, models or any external service;
stage, unstage, commit, push or rewrite Git state;
edit Excel or treat its open process/lock file as blocking;
write evidence or documentation.
6. Mandatory Gate 1 baseline preflight
Report all of the following before proposing Column L:
Repository root.
Expected and actual branch.
Exact current HEAD.
Upstream and ahead/behind state when locally available without network access.
Complete git status --short --untracked-files=all classification.
Complete staged and unstaged path inventories.
Expected owner-controlled changes and any unexpected path.
Planned CREATE targets and whether each is absent.
Planned UPDATE targets and whether each exists, is tracked and has viable patch context.
Planned DELETE targets.
Protected files, hashes and evidence inputs.
Approved external virtual environments and exact executable paths.
Approved external PRE_COMMIT_HOME, Checkov/OPA/TFLint caches and task temporary paths.
Repository and external cache/residue observations.
Any overlap between owner-staged work and the proposed W5-003 manifest.
Use the last confirmed clean baseline only as a comparison point:
expected branch: main;
last confirmed clean HEAD: 0bcef1386f5b951f205fa1c6b9c547cb207ae037.
Because a later failed commit reportedly left staged changes, do not require the current tree
to be clean by assumption. Instead, classify every difference. Column L requires either:
a subsequently clean, owner-approved committed baseline; or
an exact owner-approved dirty baseline naming every staged and unstaged path, with explicit
authority to edit each overlapping W5-003 path.
Stop before Column L if the branch, HEAD, path inventory, staged state, protected hash,
external environment or patch context differs from the approved baseline.
7. Required governing sources and precedence
Apply this precedence and report conflicts without silently resolving them:
docs/governance/Enterprise_AI_Architecture_Source_of_Truth_v1.1.docx
Approved ADRs and owner decision records, including ADR-000 source precedence
Approved W5 input contract and final-approved W5-001 evidence
Approved architecture, security, cost, retention and learning records
Tracker v1.3.5
Current implementation, configuration, schemas, tests and tool contracts
At minimum inspect the current versions of:
docs/adr/ADR-000-source-precedence.md
docs/adr/ADR-006-authorization.md
docs/adr/ADR-009-terraform-roots.md
docs/adr/ADR-010-saved-plan.md
docs/adr/ADR-011-manual-mutations.md
docs/adr/ADR-014-kms-deletion.md
docs/adr/ADR-015-opensearch-boundary.md
docs/adr/ADR-017-release-gates.md
docs/cost-estimates/W5-inputs.md
docs/test-evidence/W5-001.md
docs/test-evidence/W5-03-security.txt
docs/test-evidence/W5-04-iam.txt
docs/test-evidence/W5-05-platform-plan.txt
docs/test-evidence/README.md
the W3-002 immutable baseline and protected RAG identities
If an exact path is absent, report it as absent; do not invent a substitute.
8. Required current-state reconciliation
Gate 1 must distinguish four layers:
W5-001 Terraform implementation: the real roots/modules and security controls that
W5-003 must evaluate.
Existing W5-001 policy foundation: current OPA files, six foundation tests and the
Checkov/TFLint execution contracts.
W5-003 final policy pack: the new or updated policies, exception registry, fixtures and
automated contract/security/feature tests needed to close W5-06.
W5-002 CI integration: downstream only; absent workflows must remain deferred.
Known existing foundation paths to inspect include:
.tflint.hcl
requirements-checkov.txt
policies/opa/terraform_plan.rego
policies/opa/terraform_plan_test.rego
the two Terraform roots and all modules created or updated by W5-001
current Terraform/OPA/Checkov/security contract tests
Do not create shadow policies that duplicate or contradict the existing
enterprise_ai.terraform.plan package. Determine whether the tracker-proposed
terraform.rego is a separate final gate, an aggregation layer or a stale filename. Any
change from the tracker-proposed path must be presented as an explicit owner decision with
complete producer-consumer impact.
Reconcile every one of the 20 W5-001 Checkov skips:
exact check ID;
affected path/resource class;
why it was skipped;
whether it is not applicable, an accepted sandbox limitation or a real exception;
approving owner/evidence;
expiry or review condition;
equivalent OPA outcome where the controls overlap.
Do not transfer a skip automatically into the exception registry. Do not baseline a genuine
security failure.
9. Required policy coverage
Gate 1 must map every rule to its authoritative owner value, Terraform producer, OPA rule,
Checkov rule/configuration, fixture and expected outcome.
The intended control families are:
Region
infrastructure resources are restricted to approved Terraform Regions;
Bedrock’s Global Cross-Region processing label does not authorize infrastructure in
additional Regions.
Mandatory tags
require the exact approved tag keys and values or validation rules;
validate ExpiresAt format, permitted lifecycle and expiry behavior;
reconcile the authoritative repository tag with
gprai/enterprize_ai_platform without rewriting historical evidence silently.
S3 and state/storage security
public access blocked;
approved KMS encryption;
versioning and required lifecycle controls;
TLS-only bucket policy;
no secret values in Terraform.
KMS
key rotation where required;
bounded deletion window and explicit owner lifecycle;
no broad public or cross-account access.
IAM and OIDC
no wildcard action or resource without an individually approved bounded exception;
exact trusted services/principals and conditions;
no long-lived AWS credential fields;
no repository or environment trust broader than the approved contract.
Network and security groups
no public ingress;
no unrestricted ingress or egress unless an exact approved rule exists;
private subnet/VPC boundaries and endpoint intent remain consistent with W5 inputs.
OpenSearch
VPC-only access;
encryption at rest and node-to-node encryption;
HTTPS enforcement and approved TLS policy;
approved logging and log retention;
bounded access policy and sandbox sizing.
ECR and image controls
immutable tags;
approved encryption;
scan/lifecycle configuration;
no mutable deployment reference accepted as an approved artifact.
Deletion, retention and cost guards
destructive or high-cost changes require explicit owner review;
required retention/deletion settings remain present;
policy PASS must not imply a cost estimate or deployment approval.
Exception governance
exceptions are rule- and resource-scoped;
owner, approver, rationale, evidence, issue time, expiry and status are explicit;
malformed, expired, duplicate, unknown-rule, wildcard-resource, directory-wide,
file-type-wide and blanket exceptions fail closed.
The final rule list, IDs, severities, messages and overlap matrix require owner approval after
Gate 1. Do not infer exact IDs or field ordering before inspecting the existing packages.
10. Finding and exception contracts
Propose strict, versioned and deterministic contracts.
Each policy finding should expose only approved safe fields such as:
schema version;
policy/rule ID;
severity;
Terraform resource address;
safe category;
safe remediation code or message;
exception status when applicable.
It must not expose:
secret values or hashes of secret values;
complete Terraform plan fragments;
environment variables or credentials;
provider responses;
private document/model content;
stack traces or raw exception text.
The exception schema must be strict, extra-forbidden and deterministic. Gate 1 must propose
the exact ordered keys after inspecting current conventions. Candidate fields include:
schema_version
exception_id
policy_id
resource_addresses
owner
approver
rationale
evidence_reference
issued_at
expires_at
status
These are proposals, not approved fields. Determine whether one exception may cover more than
one explicitly listed resource and whether the collection is ordered and immutable.
Canonical project JSON should follow the repository’s existing strict JSON contract:
UTF-8 without BOM, duplicate-key rejection, finite values, deterministic key ordering and one
final newline. Confirm rather than assume the exact serializer.
11. Mandatory producer-consumer impact analysis
For every proposed path, rule, field, configuration key, command and dependency, report:
definition/producer;
import, loader or evaluator;
Terraform resource/module/root consumed;
OPA package/rule consumed;
Checkov configuration/check consumed;
validators and serializers;
positive and negative fixtures;
unit, contract, integration, feature, security, rollback and teardown tests;
Make/platform validation consumers;
pre-commit and secret-scanner impact;
future W5-002 workflow consumer;
documentation/evidence consumer;
required change or evidence-backed reason unchanged.
Search all exact consumers. In particular inspect hard-coded feature lists, required-path
lists, dependency inventories, repository-cleanliness rules, policy package loaders, test
collection rules and Make targets.
12. Initial tracker-proposed path boundary — not approval
The inactive tracker template proposes the following starting boundary. Gate 1 must verify and
correct it against the current repository. Do not treat it as Column L authority.
Proposed CREATE
.checkov.yml
policies/opa/terraform.rego
policies/opa/terraform_test.rego
policies/opa/exceptions.json
tests/contract/test_policy_exception_contract.py
tests/security/test_policy_pack.py
tests/feature/test_policy_gate.py
Proposed UPDATE
Makefile
feature-matrix.yaml
tools/platformctl/validate.py
tests/feature/test_feature_matrix.py
tests/unit/test_platformctl.py
Proposed DELETE
None
Known consumers requiring inspection before classification
.pre-commit-config.yaml
.secrets.baseline
.tflint.hcl
pyproject.toml
requirements.txt
requirements-dev.txt
requirements-checkov.txt
tests/integration/test_dependency_contract.py
tests/security/test_configuration_security.py
tests/security/test_repository_security.py
tests/security/test_precommit_controls.py
tests/teardown/test_repository_cleanliness.py
tests/teardown/test_terraform_state_boundary.py
policies/opa/terraform_plan.rego
policies/opa/terraform_plan_test.rego
infra/bootstrap/versions.tf
infra/environments/sandbox/versions.tf
infra/environments/sandbox/main.tf
infra/environments/sandbox/variables.tf
infra/environments/sandbox/terraform.tfvars.example
every exact W5-001 Terraform module file evaluated by the policy pack
every exact W5-001 policy/security test that asserts existing rules or skips
Deferred
.github/workflows/ci.yml
.github/workflows/security-scan.yml
.github/workflows/plan-sandbox.yml
W5-002 workflow/helper/image/scanner/SBOM paths
docs/test-evidence/W5-003.md
docs/test-evidence/W5-06-policy.txt
docs/test-evidence/W5-policy.txt
docs/test-evidence/README.md
W5-004 saved-plan implementation and evidence
Excluded
W5-001 retained verification reports and their contents;
tracker, governance, ADR and existing evidence edits during Column L;
GitHub execution and OIDC/STSes;
Terraform plan/apply/destroy;
AWS, Bedrock, OpenSearch, ECR or any cloud call;
Docker, image build, scanners and SBOM execution;
deployment, release rollback and cloud teardown;
Git staging, commit and push;
any path not explicitly approved later in Column L.
Gate 1 must return one exact manifest with every repository path under exactly one of CREATE,
UPDATE, DELETE, VERIFIED UNCHANGED, DEFERRED or EXCLUDED. No wildcard, directory-only or
placeholder path is permitted in Column L.
13. Automated-test design required at Gate 1
Design deterministic coverage for:
Policy correctness
one compliant Terraform-plan-shaped fixture covering every applicable rule;
one isolated violating fixture per rule;
multiple simultaneous violations with stable deterministic ordering;
unknown resource types handled according to an approved fail-safe rule;
removed, renamed or disabled rules detected;
OPA package evaluation confirmed rather than inferred from an empty result;
OPA and Checkov overlap outcomes reconciled.
Exceptions
valid exact rule/resource exception;
missing field;
unknown/extra field;
duplicate key;
duplicate exception ID;
reordered contractual collection where order is significant;
malformed timestamp/timezone;
expired, future-not-yet-active or revoked exception;
unknown policy ID;
wildcard, directory, file-type or blanket scope;
wrong approver/owner;
missing rationale/evidence;
exception for one resource does not suppress another resource;
expired exception produces the original denial.
Security and redaction
public S3/OpenSearch and open security-group examples fail;
missing KMS/encryption/TLS/tagging/lifecycle controls fail;
IAM action/resource wildcard rules fail unless exactly approved;
no committed complete secret-shaped fixture;
synthetic secret values are assembled only at runtime from safe fragments;
findings and test output contain no sensitive input value;
malformed plan JSON and non-finite/duplicate values fail closed;
no network, AWS credential or provider access occurs.
Integration and feature acceptance
current W5-001 Terraform is evaluated against the final pack;
approved secure infrastructure passes;
intentionally insecure temporary copies fail;
Checkov’s approved skips are exactly reconciled and no new skip appears;
policy result includes rule/resource/remediation;
W5-001 Bedrock FAIL remains unchanged and is not evaluated as an IaC-policy failure;
no W5-002 workflow is required for local acceptance.
Rollback and cleanliness
disabling/reverting the candidate pack restores the last approved policy behavior without
touching Terraform/cloud state;
temporary fixtures exist only under the approved external task directory;
no repository .pytest_cache, .mypy_cache, .ruff_cache, __pycache__, Terraform
runtime directory, plan file, OPA bundle, Checkov report or secret candidate remains;
shared external caches and retained W5-001 evidence are not broadly deleted.
Do not weaken existing assertions to obtain PASS. An encountered failure stops TEST-001 and
requires read-only root-cause analysis plus separate remediation approval.
14. Toolchain, environment and offline boundary
Gate 1 must inspect actual packaging and tool configuration before proposing installation.
Known owner-reported tool identities:
OPA: 1.20.0
Checkov: 3.3.16
TFLint: 0.60.0
TFLint AWS ruleset: 0.48.0
owner Python used for W5-001: inspect and confirm; do not infer from an older record
No dependency installation is authorized by this Main Prompt. Confirm whether the current
approved external environments already provide:
python
pre-commit
detect-secrets-hook
Ruff
MyPy
Pytest
Checkov
OPA
TFLint and its plugin
OPA and Checkov evaluation must remain local and offline. Do not contact Bridgecrew/Prisma,
GitHub, AWS or a package registry. Gate 1 must inspect the installed Checkov 3.3.16 command
surface and determine the exact offline/no-download/API-key-free flags supported by that
version rather than inventing flags.
15. Mandatory owner TEST-001 guide format — planning only
Gate 1 must return all proposed commands together, grouped by topic. Every topic must include:
purpose;
exact PowerShell command;
expected result;
cost, access and privacy impact;
stop condition;
expected residue and cleanup owner.
The final TEST-001 guide must begin with exact owner-approved paths in this form:
$taskPython = '&lt;approved-external-venv&gt;\Scripts\python.exe'
$taskScripts = '&lt;approved-external-venv&gt;\Scripts'
$env:PRE_COMMIT_HOME = '&lt;approved-external-cache&gt;'
$env:Path = "$taskScripts;$env:Path"
$env:TEMP = '&lt;approved-external-task-temp&gt;'
$env:TMP = $env:TEMP
$taskPytestBaseTemp = '&lt;approved-external-task-temp&gt;\pytest-basetemp'
&amp; $taskPython --version
(Get-Command python -ErrorAction Stop).Source
(Get-Command detect-secrets-hook -ErrorAction Stop).Source
&amp; $taskPython -B -m pre_commit --version
&amp; $taskPython -m pip show detect-secrets
No placeholder may remain in the later Column L or executable TEST-001 approval.
The planned order must be:
Confirm branch, HEAD, staged/unstaged state and approved path boundary.
Initialize the approved environment, PATH, PRE_COMMIT_HOME, TEMP and TMP.
Verify Python, pre-commit and detect-secrets executables.
Verify OPA, Checkov and TFLint versions and approved paths without download.
Validate OPA/Rego syntax and configuration.
Validate Checkov configuration offline.
Complete mechanical Ruff formatting before integrity hashing.
Resolve the repository line-ending policy.
Run scoped Ruff lint and Ruff format checks.
Run strict MyPy using repository scope and no repository cache.
Run focused exception/policy/security tests with unique external --basetemp.
Run OPA tests for the complete approved package.
Run Checkov against approved secure and insecure temporary fixtures.
Run Checkov against the current infra tree and reconcile exact pass/fail/skip counts.
Run current W5-001 Terraform/security consumer regressions.
Run the complete ordinary Pytest suite with existing AWS/paid exclusions preserved.
Run platform validation.
Run rollback and teardown/zero-residue checks.
Run integrity validation after final formatting.
Generate any required final detect-secrets candidate outside the repository only after
integrity hashes are final.
Obtain owner review before any .secrets.baseline update.
Stage only the exact approved paths with git add -- $approvedPaths after separate Git
authorization.
Validate staged whitespace and staged manifest.
Run pre-commit all-files and staged-file checks in the approved order.
Provide the owner commit command only after all checks pass.
Capture actual post-commit SHA and final status; never invent a future commit SHA.
When Pytest is authorized, set both TEMP and TMP and pass:
--basetemp $taskPytestBaseTemp
If a permission error occurs only because the execution sandbox cannot access the approved
external temporary directory, classify it as an execution-environment failure—not a product
test failure. Do not change source code to work around it.
During any secret-baseline transition, do not use --show-diff-on-failure until the approved
baseline is staged. If .secrets.baseline changes, stage it before the final detect-secrets
hook or the hook will correctly fail because the baseline is unstaged.
16. Formatting, integrity and secret-scanning order
If W5-003 affects formatting, integrity manifests or the secret baseline, preserve this exact
order:
Complete functional edits.
Complete bounded mechanical Ruff formatting.
Resolve line endings.
Pass Ruff lint and format checks.
Refactor any synthetic secret-shaped fixture into runtime fragments.
Pass focused behavior/security tests.
Calculate and update integrity hashes.
Use only an owner-supplied existing commit SHA for any repository_commit_sha field.
Generate the final detect-secrets candidate outside the repository.
Return only scanner version, plugin/filter counts and redacted path/type/count inventory.
Obtain owner approval.
Update .secrets.baseline and its exact contract/cleanliness tests together only under a
separately exact approved manifest.
Stage exact approved paths.
Run all-files and staged-file pre-commit validation.
Commit only when explicitly authorized.
Never enable repository-wide Ruff formatting while unapproved legacy formatting differences
remain. Inventory and separate any mechanical reformatting from behavioral W5-003 changes.
17. Failure, rollback and teardown rules
Failure classification
PASS: the exact approved local check completed and met every acceptance criterion.
FAIL: an executed mandatory check produced a policy, security, quality or integrity
failure.
NOT RUN: the activity was intentionally not authorized or never started.
INDETERMINATE: required external evidence was unavailable or could not be authenticated.
Skips, deselections and warnings remain separately recorded; they are never converted to
PASS.
Fail-safe behavior
malformed policy input fails closed;
evaluator error cannot become allow;
missing/unknown policy cannot become allow;
an exception processing error cannot suppress a finding;
partial OPA/Checkov execution cannot establish eligibility;
no automatic remediation follows a failure;
no test result authorizes Terraform, AWS, GitHub or deployment activity.
Rollback
Rollback means removing/reverting only the approved W5-003 candidate changes and restoring
the exact prior approved policy pack under a separate approval. It does not mean applying
Terraform, changing AWS resources or rewriting historical evidence.
Teardown and residue
Remove only task-owned temporary fixtures, reports, test caches and approved task-specific
external cache content. Do not delete:
shared pre-commit, OPA, Checkov, TFLint or package caches;
retained W5-001 verification evidence;
Terraform state or provider lockfiles;
owner documents or tracker files.
Record retained resources, cleanup owner and planned removal/review date.
18. Security, privacy, reliability and cost boundaries
No plaintext secret, credential, AWS token, provider payload, PII or tenant/business content
is required.
Synthetic secret-shaped values are constructed only at runtime from safe fragments and
never printed.
Terraform-plan fixtures contain only synthetic non-sensitive values.
Findings expose rule/resource/remediation, not resource values.
No AWS identity or network access is needed.
No cloud resource, model request, image, socket, service or deployment is created.
Local CPU, memory, disk, owner time and retained external caches are real and must not be
described as costless.
Cloud/provider cost for the approved offline implementation and tests is expected to be
USD 0; this excludes local infrastructure and owner effort.
Policy PASS is not a Terraform plan, cost estimate, deployment approval or production
security certification.
W5-001’s Bedrock FAIL remains a separate release blocker.
19. Consolidated owner decisions required from Gate 1
Return one table containing every unresolved decision. At minimum reconcile:
ID
Decision required
Recommended direction
Gate impact
D1
Exact current branch, HEAD, staged/unstaged state and protected owner changes
Bind Gate 2 to the actual revalidated baseline; resolve or explicitly approve every overlap
Blocks Column L
D2
W5-03 through W5-05 prerequisite evidence
Accept the final-approved W5-001 evidence if hashes and contents remain exact
Blocks Column L if inconsistent
D3
Existing terraform_plan.rego versus tracker-proposed terraform.rego ownership
Extend or aggregate without duplicate/contradictory rules; preserve tracker intent and record any path correction
Blocks manifest
D4
Exact approved Terraform Region set
Extract from final W5 inputs; normally infrastructure remains in ap-southeast-1 only
Blocks rules
D5
Exact mandatory tag keys, values/validators and expiry policy
Reuse current approved inputs; do not re-ask already recorded values
Blocks rules
D6
Exact encryption, TLS, public-access, KMS, versioning and lifecycle rules
Bind each rule to the implemented W5-001 Terraform contract
Blocks rules
D7
Exact IAM, trust, wildcard action/resource and network exceptions
Deny by default; enumerate only previously approved bounded exceptions
Blocks rules
D8
Disposition of all 20 existing Checkov skips
Classify individually; migrate only genuine approved exceptions
Blocks evidence and configuration
D9
Exception schema, authorized approver, default duration and expiry behavior
Strict versioned JSON; rule/resource scope; owner approval; fail closed
Blocks schema/tests
D10
OPA/Checkov overlap and precedence
Both must pass; contradiction or partial execution is FAIL
Blocks acceptance
D11
Rule IDs, severity, deterministic order and safe finding </t>
  </si>
  <si>
    <t>READY FOR PRE-EDIT REVIEW — W5-003</t>
  </si>
  <si>
    <t>COLUMN L — COMPLETE BOUNDED CODE EDIT APPROVAL — W5-003
1. Approval identity
Prompt ID: W5-003
Tracker step: W5-06
Feature: OPA and Checkov policy pack
Governing tracker: Enterprise_AI_Architecture_6_Week_Execution_Tracker_v1.3.5.xlsx
Approval type: exact code/configuration/IaC/schema/automated-test edit approval
Approved owner decisions: D1–D24, exactly as recorded in the successful Gate 1 review
Approved implementation manifest: 7 CREATE, 11 UPDATE, 0 DELETE
This Column L approval authorizes only the exact repository edits stated below. It does not
authorize command execution, testing, scanning, formatting commands, installation, downloads,
temporary-directory creation, cleanup, documentation, evidence writing, Excel modification,
Git staging, committing, pushing, Terraform execution, GitHub execution, AWS access,
deployment, rollback execution or teardown execution.
Do not rely on another conversation. Re-read this complete contract and the current repository
before editing.
2. Approved business and technical outcome
Implement the final offline W5-06 policy-as-code producer that:
evaluates synthetic Terraform-plan-shaped input through OPA;
scans the current Terraform implementation through an offline Checkov configuration;
denies violations of the approved Region, tagging, encryption, public-access, IAM, network,
OpenSearch, ECR, deletion, retention and secret-separation controls;
accepts only strict, explicit, resource/rule-scoped, time-bound owner-approved exceptions;
returns deterministic safe findings containing no protected values;
proves through automated tests that secure fixtures pass and insecure fixtures fail;
detects missing, disabled, bypassed, partially evaluated or contradictory policies;
remains a standalone local producer for later W5-002/W5-07 CI integration.
W5-003 must not create or modify any GitHub workflow. W5-002 remains the downstream owner of
CI integration.
W5-001’s formal Bedrock result remains FAIL. This implementation must not modify,
reinterpret or relabel it. The Bedrock failure does not block this offline policy edit, but it
continues to block model promotion, Terraform apply, deployment and production-readiness
claims.
3. Approved baseline
Expected pre-edit state:
Item
Exact approved value
Repository root
E:\AI\enterprise_ai_platform
Branch
main
HEAD
0bcef1386f5b951f205fa1c6b9c547cb207ae037
Upstream
origin/main
Ahead/behind
0/0, determined locally
Staged paths
None
Unstaged tracked paths
None
Permitted untracked path
docs/governance/~$Enterprise_AI_Architecture_6_Week_Execution_Tracker_v1.3.5.xlsx only, if present
Unexpected repository paths
None
Line endings
.gitattributes governs LF except Windows batch files
core.autocrlf
true; approved targets currently contain LF
The Excel workbook may be open and the ~$ lock may appear or disappear. Both are
owner-controlled, excluded and non-blocking. Do not read, edit, stage or delete them.
Approved governing hashes:
Governing input
SHA-256
W5-003 Main Prompt
220f8d90f1c59780f63a07eefe5671015d4707d8e9cef58fb96e47a95d910ead
Source of Truth v1.1
d4ce5c6d2cbba3704e8f7f385edeb16573cf21e009b1bf7e87914bace03fb04f
Tracker v1.3.5
080f3e2f07cc11400adfc07e62be49dc57b9727f6669a06f344fa8b71662bd7b
ADR-000
5926e39cf95bea75eef2776e439efd613a3966899fbc5a4deba78ec21295b15f
W5 inputs
75bdfd649241297cc88d9d6a278b3231053a5c6c5b3250c571e6e02114fd2dfd
W5-001 evidence
70d0ed6600303cffc035380bc0ac063d6158ed094fbd3eb82ed78f04a8b10848
W5-03 evidence
0288a6de29be90f3b7b3bafaf8135fc2d9169b2ff4dc8c3525677ebe64a2a7c2
W5-04 evidence
714560502f7138c589eb7c3c8818aca155f7863017876f1f281b57e8f06f1ae2
W5-05 evidence
59f1a36c6b3e4afafc25deb3654bc205af67a5819d6228901ef02029f1f695f7
ADR-000’s older v1.3.4 wording and the absent
docs/adr/ADR-015-opensearch-boundary.md are approved deferred governance gaps. They do not
authorize documentation edits under Column L.
Protected W3-002 inputs and identities, including the following, must remain byte-for-byte
unchanged:
configs/eval/golden.jsonl
configs/eval/w3-002.yaml
configs/eval/baselines/w3-002-v1.json
configs/rag.yaml
configs/rag/versions/w3-002-v1.json
configs/rag/versions/w3-004-synthetic-regression-v1.json
src/enterprise_ai_platform/evaluation/fixtures.py
src/enterprise_ai_platform/rag_rollback/identity.py
4. Mandatory Gate 2 revalidation before editing
Before the first edit, perform read-only revalidation only:
Confirm the repository root, branch, exact HEAD and local upstream/ahead-behind state.
Capture the complete short status, staged paths, unstaged paths and untracked paths.
Confirm all seven CREATE targets are absent.
Confirm all eleven UPDATE targets exist, are tracked and retain the approved patch contexts.
Re-read every VERIFIED UNCHANGED consumer listed below.
Recalculate and compare every full governing hash above.
Confirm the protected W3 inputs and retained W5-001 evidence are unchanged.
Confirm no repository cache, plan, state, policy report, OPA bundle or unexpected residue
appeared.
Confirm no owner change overlaps the approved eighteen paths.
Confirm the only permissible status difference is the owner-controlled Excel lock
appearing or disappearing.
If branch, HEAD, staged/unstaged state, any path, patch context, protected hash or residue
differs, edit nothing and return exactly:
BLOCKED — BASELINE CHANGED — W5-003.
If a CREATE path exists or an UPDATE path is missing, edit nothing and return the same blocker.
Do not guess an anchor, append a shadow policy/test, reconstruct a file from memory or absorb an
unexpected path into the manifest.
5. Exact approved edit manifest
CREATE — exactly 7
.checkov.yml
policies/opa/exceptions.json
tests/contract/test_policy_exception_contract.py
tests/feature/test_policy_gate.py
tests/rollback/test_policy_pack_rollback.py
tests/security/test_policy_pack.py
tests/teardown/test_policy_pack_cleanliness.py
UPDATE — exactly 11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DELETE — exactly 0
None.
No path may move between CREATE, UPDATE or DELETE without a new owner approval.
6. Exact approved UPDATE contexts
Edit only these sections or symbols:
Path
Approved context and change
Makefile
Tool variables, .PHONY, help text, existing OPA/Checkov targets and exact W5 policy targets only
feature-matrix.yaml
Extend existing AWS-001 implementation paths and linked steps through W5-06; do not create a new feature or reorder unrelated features
tools/platformctl/validate.py
Extend EXPECTED_AWS_IMPLEMENTATION_PATHS, EXPECTED_AWS_FEATURE and REQUIRED_FILES only as required by the approved manifest
tests/feature/test_feature_matrix.py
Reconcile the exact AWS-001 path/count/step contract without weakening unrelated assertions
tests/unit/test_platformctl.py
Extend exact W5 AWS ownership and required-path assertions
policies/opa/terraform_plan.rego
Preserve package enterprise_ai.terraform.plan; replace the incomplete string-only foundation with the approved ordered structured policy/finding/exception behavior
policies/opa/terraform_plan_test.rego
Preserve the six foundation scenarios and add the complete rule, exception, deterministic-order, redaction and fail-closed test matrix
tests/integration/test_dependency_contract.py
Add exact Checkov/OPA offline configuration and environment contracts only; retain all existing dependency assertions
infra/environments/sandbox/terraform.tfvars.example
Change only github_repository from enterprise-ai-platform to enterprize_ai_platform
infra/environments/sandbox/variables.tf
Change only the exact allowed github_repository value and its validation message to enterprize_ai_platform
tests/contract/test_terraform_module_contract.py
Add exact assertions for repository identity and resulting OIDC subject repo:gprai/enterprize_ai_platform:environment:sandbox
Preserve the logical mandatory tag value Repository = enterprise-ai-platform. It identifies
the project/tag contract and is intentionally different from the GitHub repository slug
enterprize_ai_platform.
7. Verified unchanged consumers — read-only
These paths authorize inspection only and must not be edited:
.gitattributes
.gitignore
.pre-commit-config.yaml
.secrets.baseline
.tflint.hcl
pyproject.toml
requirements.txt
requirements-dev.txt
requirements-checkov.txt
infra/bootstrap/main.tf
infra/bootstrap/outputs.tf
infra/bootstrap/variables.tf
infra/bootstrap/versions.tf
infra/environments/sandbox/backend.hcl.example
infra/environments/sandbox/main.tf
infra/environments/sandbox/outputs.tf
infra/environments/sandbox/versions.tf
infra/modules/ecr/main.tf
infra/modules/ecr/outputs.tf
infra/modules/ecr/variables.tf
infra/modules/iam/main.tf
infra/modules/iam/outputs.tf
infra/modules/iam/variables.tf
infra/modules/kms/main.tf
infra/modules/kms/outputs.tf
infra/modules/kms/variables.tf
infra/modules/network/main.tf
infra/modules/network/outputs.tf
infra/modules/network/variables.tf
infra/modules/opensearch/main.tf
infra/modules/opensearch/outputs.tf
infra/modules/opensearch/variables.tf
infra/modules/secrets/main.tf
infra/modules/secrets/outputs.tf
infra/modules/secrets/variables.tf
infra/modules/storage/main.tf
infra/modules/storage/outputs.tf
infra/modules/storage/variables.tf
tools/platformctl/contracts.py
tests/feature/test_terraform_sandbox_plan.py
tests/security/test_configuration_security.py
tests/security/test_evidence_redaction.py
tests/security/test_precommit_controls.py
tests/security/test_repository_security.py
tests/security/test_terraform_security.py
tests/teardown/test_repository_cleanliness.py
tests/teardown/test_terraform_state_boundary.py
tests/teardown/test_w1_08_cleanliness.py
configs/eval/golden.jsonl
configs/eval/w3-002.yaml
configs/eval/baselines/w3-002-v1.json
configs/rag.yaml
configs/rag/versions/w3-002-v1.json
configs/rag/versions/w3-004-synthetic-regression-v1.json
src/enterprise_ai_platform/evaluation/fixtures.py
src/enterprise_ai_platform/rag_rollback/identity.py
tests/feature/test_w3_002_offline_evaluation.py
tests/security/test_w3_002_evaluation_security.py
tests/rollback/test_w3_002_evaluation_rollback.py
tests/teardown/test_w3_002_evaluation_cleanliness.py
If implementation cannot preserve any listed consumer, stop without changing that consumer and
return a complete impact finding requiring a new manifest approval.
8. Deferred paths and activities
The following exact paths remain deferred and must not be created or edited:
.github/workflows/ci.yml
.github/workflows/security-scan.yml
.github/workflows/plan-sandbox.yml
docs/test-evidence/W5-003.md
docs/test-evidence/W5-06-policy.txt
docs/test-evidence/W5-policy.txt
docs/test-evidence/README.md
Also deferred:
remaining W5-002 workflow, helper, image, scanner, lockfile and SBOM paths;
W5-004 saved-plan implementation and evidence;
GitHub-hosted policy execution;
any custom Checkov Python check not proven necessary;
ADR-015 creation or governance reconciliation;
Column M and Column N documentation.
9. Excluded paths and activities
The following are explicitly excluded:
policies/opa/terraform.rego — stale duplicate tracker proposal; do not create;
policies/opa/terraform_test.rego — stale duplicate tracker proposal; do not create;
Source of Truth, tracker, ADRs, W5 input document/Narrative records and existing evidence;
docs/governance/~$Enterprise_AI_Architecture_6_Week_Execution_Tracker_v1.3.5.xlsx;
reports/verification/ and every retained W5-001 run file;
W5-001 Bedrock configuration, verifier, reports, questions, answers and tests;
Terraform plan/apply/destroy and any state mutation;
AWS, GitHub, Docker, model, vector-store, registry or external network activity;
scanner execution, deployment, remediation, rollback execution and teardown execution;
dependency installation or tool download;
Git staging, unstaging, commit, push or branch mutation;
Excel edits;
every repository path not listed under CREATE or UPDATE.
10. Approved external environment and protected residue
These values are approved for the later owner TEST-001 guide. Column L may mention them but must
not execute them or create their directories: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Approved tool identities:
Python 3.13.7
Pytest 9.1.1
Ruff 0.16.4
MyPy 1.20.2
pre-commit 4.6.2
detect-secrets 1.5.0
Checkov 3.3.16
OPA 1.20.0
TFLint 0.60.0
TFLint AWS ruleset 0.48.0
D23 protects these inaccessible pre-existing W5-001 Pytest directories:
E:\AI\.pre-commit-cache\enterprise-ai-platform-w5-001\pytest-basetemp-focused-20260904
E:\AI\.pre-commit-cache\enterprise-ai-platform-w5-001\pytest-basetemp-full-20260904
E:\AI\.pre-commit-cache\enterprise-ai-platform-w5-001\pytest-basetemp-retry-20260904
Their contents and cleanliness remain INDETERMINATE. Do not read, modify, rename or delete
them. Do not treat them as W5-003 test residue.
Also preserve:
W5-001 pre-commit cache;
W5-001 TFLint plugin cache;
all 16 W5-001 report directories, 68 files and 403,738 bytes;
all shared tool installations and caches.
11. Exact OPA rule contract
Preserve the existing package:
package enterprise_ai.terraform.plan
Implement exactly these rules in exactly this policy order:
Order
Policy ID
Severity
Approved control
1
W5-PLAN-001
CRITICAL
Malformed, missing-context, unevaluated or unsupported AWS input fails closed
2
W5-REG-001
CRITICAL
Infrastructure Region must be ap-southeast-1
3
W5-TAG-001
HIGH
Exact eight mandatory tag keys and seven fixed values
4
W5-TAG-002
HIGH
ExpiresAt is RFC 3339 UTC, future and no more than 24 hours after explicit evaluation time
5
W5-PLAN-002
HIGH
Delete or replace requires explicit owner exception/review
6
W5-S3-001
CRITICAL
All four S3 public-access-block flags are enabled
7
W5-S3-002
CRITICAL
Approved S3 KMS encryption and key reference are present
8
W5-S3-003
HIGH
S3 versioning and exact lifecycle controls are present
9
W5-S3-004
CRITICAL
S3 TLS-only policy is present
10
W5-KMS-001
CRITICAL
KMS rotation enabled and deletion window exactly seven days
11
W5-IAM-001
CRITICAL
No action wildcard or prohibited IAM/ECR broad action
12
W5-IAM-002
CRITICAL
Resource, principal and trust boundaries use only approved wildcard forms
13
W5-NET-001
CRITICAL
Private topology, no IGW/NAT/public subnet and approved VPC/endpoints
14
W5-NET-002
CRITICAL
No public or unrestricted ingress or egress
15
W5-OS-001
CRITICAL
OpenSearch uses VPC, CMK, node encryption, HTTPS and approved TLS
16
W5-OS-002
HIGH
Exact OpenSearch logs, KMS log encryption, access principals and 30-day retention
17
W5-ECR-001
CRITICAL
ECR uses immutable tags, KMS encryption and scan-on-push
18
W5-ECR-002
HIGH
ECR retains exactly ten images
19
W5-SEC-001
CRITICAL
Secret-bearing and long-lived credential fields are prohibited
20
W5-EXC-001
CRITICAL
Invalid exception registry fails closed
Rules must evaluate actual Terraform resource addresses and explicit synthetic evaluation
context. The evaluation timestamp must be input data, never implicit wall-clock state.
Unknown AWS resource/change forms, malformed input, missing context, empty evaluation and
internal evaluator failure must not silently return allow.
Findings must be stable regardless of Terraform object/map iteration order. Sort findings by
policy_id, then resource_address, then remediation_code.
12. Exact mandatory tag contract
Require these eight keys:
Project
Environment
Owner
ManagedBy
CostCenter
Feature
Repository
ExpiresAt
Require these seven fixed values:
Project = enterprise-ai-platform
Environment = sandbox
Owner = Gyan-Prakash-Rai
ManagedBy = terraform
CostCenter = Personal-Learning
Feature = MVP-001
Repository = enterprise-ai-platform
ExpiresAt is supplied as an explicit RFC 3339 UTC Z timestamp. At evaluation it must be in
the future and no more than 24 hours after the explicit evaluation timestamp.
Do not change the logical tag value to the GitHub slug. The GitHub repository correction is
limited to the three approved UPDATE paths.
13. Exact exception registry contract
Create policies/opa/exceptions.json with:
UTF-8 without BOM;
LF line endings;
exactly one final newline;
duplicate-key rejection by repository consumers/tests;
exact top-level key order: schema_version, exceptions;
schema_version = "w5-003.policy-exceptions.v1";
initial exceptions = [].
Every future exception object must use this exact key order:
exception_id
policy_id
resource_addresses
owner
approver
rationale
evidence_reference
issued_at
expires_at
status
Validation requirements:
exact keys only; missing, extra and duplicate keys fail;
exception_id values are unique and bounded;
policy_id must exist in the approved rule inventory;
resource_addresses contains 1–10 unique explicit Terraform addresses;
no *, glob, prefix, directory, extension, file-type or blanket scope;
owner = "Gyan Prakash Rai";
approver = "Gyan Prakash Rai";
non-empty bounded rationale and evidence reference;
issued_at and expires_at are RFC 3339 UTC with Z;
validity is no more than seven days;
future-not-yet-active, expired, malformed and revoked exceptions cannot suppress a finding;
status is exactly ACTIVE or REVOKED;
one resource exception never suppresses another resource;
invalid exception input produces W5-EXC-001 and cannot suppress another finding;
W5-PLAN-001, W5-SEC-001 and W5-EXC-001 are never exemptible.
The initial registry must remain empty; do not migrate any Checkov skip into it.
14. Exact safe-finding contract
Use schema version:
w5-003.policy-finding.v1
Each finding must contain exactly these ordered fields:
schema_version
policy_id
severity
resource_address
category
remediation_code
exception_status
All values must be finite, bounded and drawn from explicit allowlists. severity is exactly
CRITICAL or HIGH according to the rule table. Category and remediation identifiers must be
stable safe tokens bound one-to-one to the approved policy ID and must be asserted by exact
contract tests.
Do not emit:
raw Terraform attribute values or plan fragments;
exception rationale or evidence contents;
environment variables;
credentials, secrets or hashes of secret values;
provider responses;
filesystem paths outside approved repository-relative resource addresses;
Python/Rego/Checkov exception messages or stack traces.
An active matching exception suppresses only its exact exemptible rule/resource finding.
Invalid, expired, future or revoked exceptions do not suppress; their safe status is reflected
without exposing exception content.
15. Exact Checkov configuration contract
Create .checkov.yml using only the Checkov 3.3.16 option names confirmed during Gate 1.
It must enforce:
Terraform framework only;
skip-download: true;
skip-results-upload: true;
download-external-modules: false;
compact, quiet, CLI-only output;
hard failure for failed required checks;
no API key, Prisma URL, upload or policy download;
no global skip-check list;
no custom Checkov Python policy in this cycle.
Preserve the 17 resource-local inline suppressions that produce exactly 20 approved skips.
Tests must assert the exact count, check IDs, resource locations and rationales. Any new,
removed, broadened or relocated suppression is a failure.
Approved disposition:
Count
Check IDs/resource
Exact disposition
3
CKV_AWS_109/111/356 on bootstrap state-key policy
Structural attached-key Resource="*" exception with exact principals/actions
3
CKV_AWS_109/111/356 on platform-key policy
Same structural bounded exception
3
CKV2_AWS_62, CKV_AWS_144, CKV_AWS_18 on state bucket
Approved sandbox limitation: no notifications, replication or access-log destination
3
Same three checks on platform bucket
Same approved sandbox limitation
1
CKV2_AWS_11 on VPC
Approved sandbox limitation: no flow-log destination/cost
1
CKV2_AWS_57 on metadata-only Secrets Manager module
Not applicable while secret_names=[] and no secret values/versions exist
4
CKV_AWS_338 on four OpenSearch log groups
Approved sandbox limitation: 30-day retention, not one year
2
CKV_AWS_318, CKV2_AWS_59 on OpenSearch
Approved single-node/non-HA sandbox limitation
None of these suppressions may be copied into exceptions.json.
16. Exact Make, feature and validation behavior
Makefile
Preserve existing targets and add only bounded local/offline W5 policy targets necessary to:
validate the Checkov configuration;
check OPA/Rego syntax;
run the complete OPA package tests;
run focused policy contract/security/feature tests;
run Checkov against the current infra tree through the approved configuration;
verify policy rollback/cleanliness.
Targets must not install tools, download modules/policies, create a real plan, call AWS, start
Docker, invoke GitHub or mutate Terraform state.
Feature matrix
Extend the existing AWS-001 feature only:
link W5-06 after the existing W5-02 through W5-05 steps;
add the exact approved W5-003 implementation/test paths required by the repository’s current
feature contract;
retain status consistent with incomplete owner testing/documentation;
do not mark W5-06 complete;
do not add GHA-001/W5-07/W5-08 ownership.
Synchronize every hard-coded feature/path/count consumer within the approved UPDATE manifest.
Do not weaken ordered-feature assertions or alter unrelated feature ownership.
Platform validation
Extend only the existing AWS/W5 required-file and feature contracts. Validation must fail on:
a missing approved policy/config/test path;
a duplicate/stale policy path;
wrong OPA package;
wrong W5-06 ownership;
altered exception schema identity;
missing .checkov.yml;
unexpected custom Checkov-policy path.
17. Exact automated-test requirements
tests/contract/test_policy_exception_contract.py
Cover:
top-level and exception-object schema/version/key order;
canonical UTF-8/LF/final-newline encoding;
missing, extra, duplicate and reordered contractual keys where order is required;
duplicate IDs and resource addresses;
owner/approver, rationale and evidence requirements;
valid, malformed, future, expired, revoked and over-seven-day timestamps;
unknown policy ID;
0, 1, 10 and over-10 addresses;
wildcard, glob, directory, file-extension, prefix and blanket scopes;
non-exemptible policies;
deterministic serialization.
policies/opa/terraform_plan_test.rego
Retain the six existing foundation cases and add:
one complete compliant plan-shaped input;
one isolated violation for every approved rule;
multiple violations with deterministic sorting;
missing context, malformed shape, unsupported AWS input and unevaluated-policy failures;
exact active exception behavior;
expired, future, revoked, malformed, duplicate, wrong-policy and wrong-resource exception
behavior;
proof that an invalid exception never suppresses a denial;
no raw-value output;
stable results independent of object order.
tests/security/test_policy_pack.py
Cover:
exact twenty-rule inventory, order and severity;
exact safe-finding field allowlist and bounded values;
no http.send, network helper, raw input, secret, credential or stack-trace output;
exact .checkov.yml offline configuration;
exact 17 inline directives and 20-skip disposition;
absence of global Checkov skips and custom Checkov Python checks;
runtime-only assembly of any secret-shaped synthetic material;
absence of complete secret-shaped fixtures from committed source.
tests/feature/test_policy_gate.py
Cover:
OPA executable is genuinely invoked only when the owner later runs TEST-001;
empty/no-policy evaluation cannot pass;
secure synthetic input passes;
each insecure input fails for its intended rule;
temporary secure/insecure Checkov HCL is written only beneath Pytest tmp_path;
OPA/Checkov disagreement is FAIL;
current W5-001 Terraform Checkov result is expected to remain
226 passed / 0 failed / 20 skipped during owner testing;
no AWS, Terraform plan, provider, GitHub or network activity.
Tests must safely skip or fail with an explicit reason if an owner-controlled external binary
is absent; they must not download it or convert absence into PASS.
tests/rollback/test_policy_pack_rollback.py
Cover:
exact candidate path allowlist;
rollback scope excludes Terraform state, plan, cloud commands, evidence and unrelated files;
the original six foundation scenarios remain represented;
rollback means restoring prior repository policy bytes only;
no Terraform or AWS rollback claim.
tests/teardown/test_policy_pack_cleanliness.py
Cover:
no repository policy report, OPA bundle, Checkov output, cache, bytecode, state or plan;
W5-003 temporary paths are outside the repository;
W5-001 reports and shared external caches are protected;
the three D23 directories remain pre-existing protected residue and do not fail W5-003
cleanliness;
no broad deletion command or directory target is authorized.
Updated existing tests
Update only the exact assertions required by the approved changes. Do not reduce security,
strictness, feature ordering, path ownership, schema or dependency coverage to make tests pass.
18. Implementation rules
Use apply_patch for every repository edit.
Preserve all unrelated owner changes.
Do not run a formatter or use a bulk mechanical rewrite under Column L.
Keep Python compatible with the repository target and strict MyPy contract.
Keep Rego compatible with approved OPA 1.20.0 and the existing package conventions.
Keep Checkov options compatible with approved Checkov 3.3.16.
Use strict schemas and fail-closed validation.
Keep all output deterministic and content-safe.
Do not add a dependency or modify a requirements file.
Do not create a fixture/report/cache inside the repository.
Do not modify .secrets.baseline; any later candidate must follow the separate owner-review
workflow.
Do not calculate/update integrity hashes or repository commit SHAs under Column L unless an
exact approved UPDATE path and value are present; none are approved here.
Never invent a future commit SHA.
Do not stage any path.
If implementation reveals a required path outside the manifest or an approved unchanged
consumer must change, stop immediately. Return the missing producer/consumer, reason, proposed
classification and smallest complete manifest amendment. Do not partially implement around it.
19. Failure and cancellation behavior
The implemented policy boundary must enforce:
malformed policy input: FAIL;
missing evaluation context: FAIL;
unsupported or unevaluated AWS change: FAIL;
missing policy package or empty policy result: FAIL;
invalid exception registry: FAIL through W5-EXC-001;
OPA/Checkov disagreement: FAIL;
partial Checkov execution or changed skip inventory: FAIL/INDETERMINATE as appropriate;
external tool absent during later owner execution: NOT RUN or INDETERMINATE, never PASS;
cancellation: preserve no partial eligibility result and create no replacement work;
no automatic retry that could change policy outcome;
no automatic remediation after any failure.
Policy eligibility requires both OPA and Checkov to pass their exact approved scopes. It never
authorizes Terraform apply, AWS access, deployment or release.
20. Post-edit response — no test claims
After completing the bounded edits, return:
Exact CREATE, UPDATE and DELETE counts and path lists.
Concise purpose of every changed path.
Confirmation that all VERIFIED UNCHANGED, DEFERRED and EXCLUDED paths remained unchanged.
Confirmation that protected W3/W5 evidence and D23 residue were not modified.
Any implementation limitation or new consumer discovered.
A complete owner TEST-001 guide containing all commands together and grouped by topic.
For every test topic: purpose, exact command, expected result, cost/access/privacy impact,
residue and stop condition.
Exact rollback and cleanup guidance, without executing it.
No PASS/FAIL claim for commands not run.
The owner TEST-001 guide must begin with: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Set-Location -LiteralPath $repoRoot
&amp; $taskPython --version
(Get-Command python -ErrorAction Stop).Source
(Get-Command detect-secrets-hook -ErrorAction Stop).Source
&amp; $taskPython -B -m pre_commit --version
&amp; $taskPython -m pip show detect-secrets
The following is the complete planned owner TEST-001 guide. It is not authorized by Column
L. The owner may run it only after the bounded implementation response and an explicit
TEST-001 execution approval. Run topics in order and stop on the first unexpected result.
Topic T1 — Environment and executable identity
Purpose: bind every local tool to the approved external environment before any test or hook.
Exact command: use the initialization block above, followed by:
&amp; $taskPython --version
(Get-Command python -ErrorAction Stop).Source
(Get-Command detect-secrets-hook -ErrorAction Stop).Source
&amp; $taskPython -B -m pre_commit --version
&amp; $taskPython -m pip show detect-secrets
&amp; $taskPython -B -m ruff --version
&amp; $taskPython -B -m mypy --version
&amp; $taskPython -B -m pytest --version
&amp; $checkovCli --version
&amp; $opa version
&amp; $tflint --version
Expected: Python 3.13.7; pre-commit 4.6.2; detect-secrets 1.5.0; Ruff 0.16.4;
MyPy 1.20.2; Pytest 9.1.1; Checkov 3.3.16; OPA 1.20.0; TFLint 0.60.0.
python and detect-secrets-hook must resolve beneath $taskScripts.
Impact: read-only local metadata; no repository write, network, AWS or paid use.
Stop: any missing executable, path outside an approved location or version mismatch.
Topic T2 — Baseline, staging and path boundary
Purpose: prove TEST-001 starts from the implemented but uncommitted approved boundary.
git rev-parse --show-toplevel
git branch --show-current
git rev-parse HEAD
git rev-list --left-right --count HEAD...origin/main
git status --short --untracked-files=all
git diff --name-only
git diff --cached --name-only
Expected: repository root and branch above; HEAD still
0bcef1386f5b951f205fa1c6b9c547cb207ae037; no staged path; changes limited to exactly the
seven CREATE and eleven UPDATE paths plus the optional owner-controlled Excel lock.
Impact: read-only Git metadata; no network because the already configured local tracking ref
is used.
Stop: HEAD/branch drift, staged content, an unexpected path, a missing approved path or an
overlap with an owner change.
Topic T3 — Approved external cache and temporary directories
Purpose: keep every task-owned cache and temporary test file outside the repository.
New-Item -ItemType Directory -Force -Path $env:PRE_COMMIT_HOME | Out-Null
New-Item -ItemType Directory -Force -Path $env:TEMP | Out-Null
Expected: only the exact W5-003 external cache and temporary directories are created or reused.
Impact: local filesystem allocation only; no network, cloud or protected-data use. Gyan
Prakash Rai owns later cleanup.
Stop: either path res</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</si>
  <si>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</si>
  <si>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</si>
  <si>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FOUR APPROVAL GATES PLUS OWNER TESTING AND WEEKLY LEARNING — TRACKER v1.3.5
# MAIN PROMPT — W5-004
## TASK IDENTITY
* Week: Week 5
* Task ID: W5-004
* Feature/outcome: Reviewed Terraform plan, controlled AWS sandbox lifecycle, rollback, teardown and orphan-resource verification
* Covered tracker steps:
  * W5-09 — Plan review
  * W5-10 — Sandbox lifecycle
  * W5-11 — Teardown plan
  * W5-12 — Cleanliness proof
* Future reusable consumer:
  * W6-12 — Final Week 6 teardown
* Business purpose: Prove that the approved AWS sandbox can be planned, reviewed, created, validated, rolled back or destroyed without applying unseen changes or leaving unmanaged resources and cost behind.
* Task type: Governed implementation and owner-executed AWS lifecycle task
* Initial authority: Gate 1 read-only inspection and planning only
* Next gate: Separate exact Column L Code Edit Approval
* Cloud mutation authority: Separate owner TEST-001 approvals after implementation and local validation
Do not confuse tracker step `W5-04`, which is the IAM/OIDC foundation implemented under W5-001, with task `W5-004`, which governs W5-09 through W5-12.
---
## INITIAL EXECUTION INSTRUCTION — GATE 1 ONLY
When this Main Prompt is first invoked, perform Gate 1 read-only inspection and planning only.
Do not:
* Create, edit, delete or format repository files.
* Install or upgrade software.
* Run Ruff, MyPy, Pytest, pre-commit, Terraform, Checkov, OPA, TFLint, AWS CLI, Docker or any application command.
* Run `terraform init`, `plan`, `apply`, `destroy`, `state`, `import`, `refresh` or `force-unlock`.
* Contact AWS, GitHub, registries, package indexes, Bedrock, OpenSearch, ECR, EKS or another external service.
* Start or stop services, containers, collectors or applications.
* Generate a real Terraform plan.
* Deploy, roll back, purge or destroy any resource.
* Create documentation or evidence.
* Change Excel.
* Stage, commit or push.
* Clean or delete pre-existing caches, reports, images, volumes, state, locks or owner-controlled files.
Preserve every unrelated owner change.
Never infer an approval, PASS result, AWS resource, Terraform state, account identity, cost, plan eligibility or successful cleanup.
---
## EXPECTED BASELINE AND PREFLIGHT
Expected repository:
`E:\AI\enterprise_ai_platform`
Expected branch:
`main`
Last owner-reported HEAD:
`9963f2b24d9c42c03c62b97615fd650ab0eb5bc8`
Last owner-reported source-composition SHA-256:
`c81d465fe06e4d9948fd6ef3e7d65608b34bfaf2c3df5b82dc968daf9f8cbecc`
These values are preflight expectations, not permission to ignore later approved changes.
Gate 1 must report:
1. Exact repository root, branch and HEAD.
2. Complete staged, unstaged and untracked status.
3. Every owner-controlled or protected dirty path.
4. Every W5-001, W5-002 and W5-003 implementation path currently changed or committed.
5. Current Terraform state, plan, lock, cache and report files inside and outside the repository, using only already approved readable locations.
6. Current existence and SHA-256 of governing evidence and protected inputs.
7. Whether an Excel `~$` lock exists. Treat it as owner-controlled, excluded and non-blocking.
8. Whether any unexpected code, IaC, documentation, evidence, Terraform state or runtime residue exists.
Previously reported owner-controlled paths must be re-read and classified from current facts, including:
* `docs/governance/Enterprise_AI_Architecture_6_Week_Execution_Tracker_v1.3.5.xlsx`
* `docs/learning/W5-002-W5-003-security-learning-review.docx`
Do not require a clean worktree if every existing difference is explicitly approved, classified and outside the proposed W5-004 boundary.
Stop without editing if:
* The branch is not `main`.
* HEAD differs without an owner-approved successor baseline.
* An implementation or evidence path has unexplained drift.
* A protected hash differs.
* A staged, unstaged or untracked path cannot be classified.
* Existing Terraform state or cloud-lifecycle residue conflicts with the expected lifecycle starting point.
Return:
`BLOCKED — BASELINE CHANGED — W5-004.`
---
## SOURCE PRECEDENCE
Apply the repository’s approved source precedence exactly:
1. Enterprise AI Architecture Source of Truth v1.1.
2. Final owner-approved ADRs and decision records.
3. Final-approved implementation and test evidence.
4. Coaching and learning records.
5. Tracker v1.3.5.
6. Current repository implementation.
A stale tracker status cannot reopen a final-approved implementation. Conversely, code or a tracker status alone cannot convert missing owner testing, documentation or approval into completion.
Report every conflict. Do not silently reconcile it.
---
## CURRENT OWNER-SUPPLIED IMPLEMENTATION CONTEXT
All facts below must be verified against the current repository and canonical evidence before use.
### Week 1
Week 1 established the repository, typed configuration, testing controls, security boundaries, reversibility, tagging and governance foundations.
Gate 1 must verify the current W1-08/SEC-003 pre-commit and secret-scanning closure rather than relying on an older tracker status.
No current W5-004 action may weaken:
* Ruff, MyPy or Pytest controls.
* Pre-commit enforcement.
* Detect-secrets controls.
* Secret-fixture redaction.
* Repository cleanliness requirements.
* Owner-controlled Git boundaries.
### Week 2
Week 2 established provider-neutral embedding, ingestion, retrieval, tenant/classification/ACL authorization and local/fake provider boundaries.
W5-004 must not alter those contracts or treat local/fake tests as proof of live AWS services.
### Week 3
Week 3 established cited RAG, immutable evaluation baselines, guardrails and configuration rollback.
The W3-002 protected baseline must remain exact.
W5-004 does not rerun or modify the RAG evaluation baseline and must not infer live model quality from infrastructure deployment.
### Week 4
Week 4 established:
* API and authorization controls.
* Agent workflow and human approval.
* Budgets and bounded execution.
* Redacted persistence.
* Vendor-neutral observability.
* Negative-path and load tests.
* Release rollback.
* Local rollback and zero-residue verification.
The latest reported Week 4 ordinary suite completed with 724 passed, 7 skipped and 4 deselected. Gate 1 must verify the final records before relying on this.
W5-004 must preserve the distinction between:
* Application release rollback.
* Terraform infrastructure rollback.
* Full sandbox teardown.
These are separate operations and approvals.
### W5-INPUTS-001
The approved input contract contains 30 non-secret sandbox values in:
* `infra/environments/sandbox/terraform.tfvars.example`
* `docs/cost-estimates/W5-inputs.md`
Gate 1 must verify:
* AWS account and Region.
* Network ownership.
* Mandatory tags.
* Budget and cost-alert boundaries.
* Privacy and data-region policy.
* KMS deletion window.
* GitHub/OIDC identity.
* Bedrock model and access status.
* Whether `ExpiresAt` is still `TODO_OWNER`, expired or otherwise unresolved.
No real plan or apply may proceed while `ExpiresAt` or another plan-time value remains unresolved.
The Bedrock policy label `Global Cross-Region` must not be interpreted as permission to deploy Terraform resources outside the approved infrastructure Region.
### W5-001
W5-001 implemented the Terraform and verification foundations for W5-02 through W5-05.
Reported local controls included:
* Ruff: PASS.
* MyPy: PASS.
* Pytest: PASS.
* Terraform formatting and validation: PASS.
* Checkov: PASS.
* OPA policy tests: PASS.
* TFLint: owner-reported PASS.
* Terraform initialization-residue cleanup: PASS.
No Terraform plan, apply, cloud deployment, infrastructure rollback or teardown was executed under W5-001.
The Bedrock owner verification ended with a formal FAIL because Amazon Nova 2 Lite did not reliably preserve mandatory control language. The owner accepted this as a model limitation without converting the result to PASS.
Gate 1 must determine whether an explicit owner decision permits infrastructure lifecycle work to proceed with that accepted model-quality limitation. Infrastructure provisioning must not be described as model-quality or production-readiness approval.
### W5-003
W5-003 implemented the policy-as-code foundation for W5-06.
Reported local policy, quality, security, regression, rollback and cleanliness tests passed.
Its synthetic Terraform-plan-shaped tests did not evaluate a real Terraform plan. Real saved-plan JSON evaluation was explicitly deferred to W5-004.
Gate 1 must verify W5-003 documentation and final owner closure. Missing ADR-015 remains a deferred governance gap unless a later record closes it.
### W5-002 and Python 3.13 remediation
The original W5-002 container-security gate formally failed because its Debian-based image contained disallowed Critical vulnerabilities.
A later Python 3.13.15 Chainguard remediation produced an eligible local OCI candidate with:
* Trivy Critical findings: 0.
* Grype Critical findings: 0.
* Complete ten-report reconciliation: PASS.
* Zero task residue: PASS.
* Eligible for owner approval: true.
* Deployable: false.
* Rollback identity recorded only.
* Rollback execution: NOT RUN.
* Image push, workflow execution, AWS deployment and production readiness: NOT RUN.
Qualified base manifests reported by the owner:
* Builder: `cgr.dev/vayunetrix.com/python@sha256:023795336613750af2cd86cf06503b5b74370c6a561d2a22219a2e80c6fe4811`
* Runtime: `cgr.dev/vayunetrix.com/python@sha256:f7cc453a5d7ac0cf86f585e22b6e404eaa10f69db5d00da50f9940e2806358fa`
W5-002 remains formally FAIL until its documentation, final owner approval and tracker reconciliation are complete.
W5-004 must not:
* Push this image to ECR.
* Deploy it to EKS.
* Describe it as deployable.
* Rewrite the historical W5-002 failure.
* Treat eligibility evidence as deployment approval.
Because original W5-09 depends on W5-02 through W5-08, Gate 1 must explicitly reconcile whether W5-002 and W5-003 have completed all required documentation and owner-approval gates. Planning may continue read-only, but Column L or TEST-001 must not bypass an unresolved prerequisite.
---
## AUTHORITATIVE W5-004 BUSINESS CONTRACT
### W5-09 — Plan review
Generate a saved Terraform plan, a redacted JSON representation, policy results, cost analysis and a human-readable summary.
Business value:
Applying the exact reviewed plan bytes prevents unseen infrastructure changes between review and deployment.
Acceptance requires:
* All W5-02 through W5-08 prerequisites are reconciled.
* Exact source, input, dependency-lock, provider-lock, backend and state identities are recorded.
* The binary saved-plan SHA-256 is recorded.
* Real `terraform show -json` output is evaluated by the approved policy controls.
* Plan creates, updates, replacements and deletes are fully summarized.
* Cost and budget effects are reviewed.
* Sensitive plan values are not copied into ordinary logs or documentation.
* Any drift invalidates the plan.
* Owner approval occurs before apply.
Canonical later evidence:
`docs/deployment-records/W5-plan-review.md`
### W5-10 — Sandbox lifecycle
After explicit approval, apply the exact saved plan, verify the sandbox and exercise only separately approved rollback controls.
Business value:
The project proves infrastructure capability without allowing Codex or automation to self-approve cloud mutations.
Acceptance requires:
* Exact account, Region, environment and identity verification.
* Explicit typed owner approval.
* Application of the exact reviewed saved-plan bytes.
* No automatic re-plan during apply.
* Post-apply Terraform and native AWS verification.
* Actual resources reconcile with the approved plan.
* Security, encryption, private access, tags, logs and cost controls are verified.
* Partial failure stops further work.
* Release rollback and infrastructure rollback remain separately classified.
* Deployment does not imply model, application or production readiness.
Canonical later evidence:
`docs/deployment-records/W5-sandbox.md`
### W5-11 — Teardown plan
Create and review a saved destroy plan while preserving the remote-state bootstrap until the platform is removed and verified.
Business value:
A reviewed deletion plan prevents accidental removal of shared resources or destruction of audit/state data before platform cleanup is proven.
Acceptance requires:
* Exact destroy-plan identity and hash.
* Only project-owned sandbox resources are targeted.
* Shared or owner-managed resources are excluded.
* Dependency order is explicit.
* S3 versioning, delete markers and multipart uploads are handled safely.
* KMS PendingDeletion timing is recorded.
* Bootstrap destruction remains a separate final action.
* Unexpected targets stop the process before mutation.
Canonical later evidence:
`docs/deployment-records/W5-destroy-plan.md`
### W5-12 — Cleanliness proof
After separately approved teardown, use required tags and native AWS service APIs to prove that no active project resource remains.
Business value:
A successful Terraform destroy does not prove that manually created, partially created or detached resources are gone.
Acceptance requires:
* Terraform state and outputs are reconciled.
* Mandatory tags are used for bounded discovery.
* Native service checks cover every relevant service.
* No active unmanaged project resource remains.
* The only permitted exception is an owner-approved KMS key in PendingDeletion.
* Retained evidence, state, reports, caches and local tools are explicitly recorded.
* Cost-bearing residuals cause FAIL.
* The cleanup report is complete and owner-reviewed.
Canonical later evidence:
`docs/resource-cleanliness/W5-report.json`
### W6-12 reusable boundary
W5-004 may implement reusable controls required by W6-12, but it must not execute or claim completion of W6-12 during Week 5.
Week 6 final teardown will require a new saved destroy plan, fresh approvals and current resource discovery. Week 5 plan bytes must never be reused.
---
## THREE SEPARATE OWNER-GATED LIFECYCLE CYCLES
### Cycle A — W5-09 through W5-12
1. Reconcile prerequisites and exact owner inputs.
2. If remote-state bootstrap is absent:
   * Create a bootstrap saved plan.
   * Review targets, policy and cost.
   * Obtain separate bootstrap-apply approval.
   * Apply exact approved bytes.
   * Validate the backend before platform initialization.
3. Generate the platform saved plan.
4. Export a redacted plan JSON.
5. Run Terraform, TFLint, Checkov, OPA and approved cost checks.
6. Produce a human-readable plan summary.
7. Obtain owner plan approval.
8. Apply the exact saved plan after a separate mutation approval.
9. Verify Terraform state, outputs and native AWS resources.
10. Exercise only separately approved rollback verification.
11. Generate and review the destroy plan.
12. Obtain separate destroy approval.
13. Destroy platform resources in dependency order.
14. Run native and tag-based residue verification.
15. Purge only approved project-owned versioned resources when separately authorized.
16. Destroy bootstrap resources last.
17. Run final native cleanup and cost-bearing-residue checks.
Do not automatically continue from one mutation stage to the next.
### Cycle B — After W5-13 and before W6-01
Recreate the Week 6 sandbox using new bootstrap and platform saved plans.
This requires new:
* Inputs.
* Expiry.
* Hashes.
* State identity.
* Cost review.
* Policy review.
* Apply approval.
Do not reuse Cycle A plan bytes.
### Cycle C — W6-12 final teardown
After W6-11, generate and review the final destroy plan, remove traffic and application triggers, destroy platform resources, destroy bootstrap last and verify zero active residuals.
This cycle requires a new owner approval and is not executed under W5-004 TEST-001.
---
## REQUIRED W5-004 IMPLEMENTATION CAPABILITIES
Gate 1 must inspect the repository before naming exact files or symbols.
The proposed implementation must provide or reconcile:
1. Saved-plan generation and immutable plan identity.
2. Plan JSON export with sensitive-value handling.
3. Source, input, lockfile, backend, state and plan hash binding.
4. Plan invalidation on any relevant drift.
5. Human-readable create/update/replace/delete summary.
6. Real-plan OPA evaluation using the W5-003 policy package.
7. Checkov and TFLint integration without weakening existing controls.
8. Bounded cost estimation and budget-stop checks.
9. Typed owner confirmations for apply, rollback, purge and destroy.
10. Account, Region, environment and principal verification.
11. Application of only the approved saved plan.
12. Post-apply Terraform and native AWS validation.
13. Last-known-good Terraform rollback controls.
14. Existing release-rollback integration without redefining the W4 contract.
15. Destroy-plan generation and identity verification.
16. Dependency-ordered platform teardown.
17. Bootstrap-last destruction.
18. Tag-based and native service-specific orphan discovery.
19. Redacted lifecycle reports with deterministic schemas.
20. Idempotent or fail-closed retry behavior.
21. Exact retained-resource reporting.
22. Unit, contract, integration, security, rollback and teardown tests that use deterministic fakes or mocks.
No automated test may perform a real AWS mutation.
---
## REQUIRED NATIVE RESOURCE COVERAGE
Gate 1 must determine which services the current Terraform actually manages and which are future W6 consumers.
The lifecycle and cleanliness design must address, where applicable:
* S3 buckets.
* S3 object versions and delete markers.
* Incomplete multipart uploads.
* Terraform state objects.
* DynamoDB state-lock resources.
* KMS keys, aliases and PendingDeletion.
* Secrets Manager metadata without retrieving secret values.
* ECR repositories and images.
* OpenSearch domains and associated logs.
* IAM roles, policies and attachments.
* CloudWatch log groups and alarms.
* VPCs, subnets, route tables, security groups, endpoints and ENIs.
* EKS clusters, node resources, load balancers and target groups when reused by W6.
* Other tagged resources discovered through approved AWS APIs.
Never delete or mutate a resource merely because its name looks related.
A target must match the approved account, Region, environment, ownership classification and mandatory tags.
Shared VPC, shared EKS, owner-managed IAM, external OIDC and unrelated account resources must remain excluded.
---
## PLAN IDENTITY AND INVALIDATION CONTRACT
Gate 1 must propose the exact identity schema. At minimum, review whether it must contain:
* Schema version.
* Task and lifecycle-cycle ID.
* Repository HEAD.
* Source-composition SHA-256.
* Terraform root.
* Terraform version.
* Provider-lock SHA-256.
* Dependency or tool-lock identities.
* Backend configuration SHA-256.
* Approved input-file SHA-256.
* State lineage and serial where available.
* Account ID.
* Region.
* Environment.
* Caller principal classification.
* Saved-plan SHA-256.
* Plan JSON SHA-256.
* Policy-result SHA-256.
* Cost-summary SHA-256.
* Creation timestamp and expiry.
* Approver and approval timestamp, added only from owner-supplied facts.
* Apply, rollback, destroy and cleanup statuses.
The saved plan must be invalidated when any governed input changes, including:
* Source or Terraform code.
* Variable values.
* Expiry.
* Backend configuration.
* Provider locks.
* Terraform version.
* Account, Region or environment.
* State lineage or serial.
* Policy bundle.
* Cost ceiling.
* Approval context.
* Plan file bytes.
Do not invent a future Git commit SHA.
---
## SECURITY AND PRIVACY BOUNDARY
The design must ensure:
* Short-lived or owner-approved identity only.
* No credentials in repository files, command output, evidence or documentation.
* No access-key creation.
* Exact account and Region verification before AWS calls.
* Least privilege.
* No public resource unless specifically approved.
* Encryption in transit and at rest.
* No retrieval of secret values during verification.
* No raw Terraform sensitive values in ordinary reports.
* No Bedrock prompt, answer, evidence or PII in lifecycle records.
* No silent cross-account, cross-region or provider substitution.
* No broad resource deletion.
* No automatic `terraform force-unlock`.
* No automatic state repair, import or replacement.
* No automatic policy waiver.
* No automatic cost-limit override.
* No automatic apply or destroy after a successful plan.
* All cloud mutations require explicit typed owner confirmation.
A possible credential or secret must be redacted and classified without reproducing it.
Return:
`BLOCKED — POSSIBLE SECRET EXPOSURE — W5-004.`
---
## COST BOUNDARY
Gate 1 must reconcile:
* Monthly sandbox ceiling.
* Daily cost-alert threshold.
* Maximum lifecycle-test spend.
* Cost-alert owner and destination.
* Stop-work authority.
* Cost-bearing services.
* Expected idle cost.
* Maximum approved lifecycle duration.
* `ExpiresAt`.
* Cost implications of OpenSearch, NAT, EKS, logs, KMS, S3, ECR and Bedrock.
* Residual-resource cost after partial failure.
* Whether an approved cost-analysis tool exists.
Planning a budget does not prove that AWS Budgets or alerts are deployed.
If cost cannot be calculated exactly, classify it as INDETERMINATE and stop before apply unless the owner approves an explicit conservative upper bound.
Do not claim USD 0 for local CPU, storage, bandwidth, owner time or retained tooling unless proven.
---
## FAILURE, ROLLBACK AND TEARDOWN SEMANTICS
Keep these meanings separate:
| Operation                | Meaning                                                                      |
| ------------------------ | ---------------------------------------------------------------------------- |
| Retry                    | Repeat a bounded failed read or verification operation                       |
| Remediation              | Change code, inputs, permissions or configuration under a new approval       |
| Release rollback         | Restore the last approved application release                                |
| Infrastructure rollback  | Apply a separately reviewed last-known-good Terraform configuration          |
| Teardown                 | Permanently remove the approved sandbox resources                            |
| Purge                    | Remove versioned/object residue required before approved bucket deletion     |
| Cleanliness verification | Prove absence of active residual resources using state, tags and native APIs |
A failed apply must not automatically trigger destroy.
A failed validation must stop and preserve evidence.
Destroy is not ordinary rollback.
Bootstrap/state removal must occur only after the platform is removed and verified.
KMS PendingDeletion must remain explicitly recorded until its deletion window completes.
Any active unexpected or cost-bearing residual is FAIL, not a warning.
---
## GATE 1 REQUIRED READ-ONLY ANALYSIS
### 1. Business outcome and measurable acceptance
Explain:
* Business problem and beneficiaries.
* Architecture position.
* Included and excluded scope.
* Functional and non-functional acceptance.
* Security, privacy, reliability, cost and lifecycle acceptance.
* Blocking prerequisites.
* Safe deferrals.
* Downstream consequences.
### 2. Governing baseline and prerequisite reconciliation
Inspect and report:
* Branch, HEAD and full status.
* Source-of-Truth and protected hashes.
* W5 input contract.
* W5-001 implementation and formal Bedrock FAIL.
* W5-002 original failure and Python 3.13 remediation.
* W5-003 policy implementation and final closure.
* Current W5-02 through W5-08 tracker/evidence status.
* Exact Terraform roots and modules.
* Terraform and provider-lock versions.
* Backend configuration.
* Current plan/state/runtime residue.
* Approved identity, account, Region, tags, expiry and budget values.
* Missing or deferred ADRs.
* Every contradiction between tracker, evidence and repository.
### 3. Producer-consumer impact matrix
For every proposed path, function, class, schema, command, setting and report, identify:
* Producer or definition.
* Imports, callers and constructors.
* Validators.
* Serializers and parsers.
* Tests and fixtures.
* Terraform roots and modules.
* Platform CLI and Make targets.
* AWS service consumers.
* Documentation and evidence consumers.
* Required change or reason unchanged.
Search the entire repository. Do not infer filenames.
### 4. Function and connection map
Map:
* Command entry points.
* Terraform root selection.
* Account/Region/identity checks.
* Plan generation.
* Plan hashing.
* JSON conversion.
* Policy and cost evaluation.
* Owner approval.
* Exact-plan apply.
* Resource verification.
* Rollback.
* Destroy-plan generation.
* Destroy.
* Purge.
* Orphan scanning.
* Bootstrap-last removal.
* Evidence and cleanup.
Include trust, state, network, authorization, error, retry, timeout, cancellation and concurrency boundaries.
### 5. Exact Column L path boundary
Return complete repository-relative manifests under:
* CREATE.
* UPDATE.
* DELETE.
* VERIFIED UNCHANGED CONSUMERS.
* DEFERRED.
* EXCLUDED.
For every editable path identify exact symbols or sections and purpose.
No wildcard, directory-only or invented path is allowed.
Documentation, deployment records, evidence, Excel and Git mutation must remain outside Column L.
### 6. Schema and serialization analysis
Define exact schemas for:
* Plan identity.
* Plan summary.
* Policy result.
* Cost result.
* Approval record.
* Deployment result.
* Rollback result.
* Destroy-plan result.
* Cleanup/resource-inventory result.
Cover:
* Field names and types.
* Required and optional values.
* Canonical ordering.
* Timestamps.
* Hash formats.
* Resource identities.
* Redaction.
* Duplicate, missing, extra, reordered and malformed fields.
* Schema versioning.
* Deterministic serialization.
* Immutable versus mutable collections.
### 7. Dependency and runtime analysis
Inspect:
* `pyproject.toml`.
* Requirements and lockfiles.
* Terraform version constraints.
* AWS provider lock.
* Checkov, OPA and TFLint versions.
* AWS SDK/CLI use.
* Existing platform CLI.
* Existing Make targets.
* Python 3.13 environment.
* External caches and temporary roots.
Report installation, download, network and provenance requirements. Do not install anything at Gate 1.
### 8. Concurrency, idempotency and partial-failure analysis
Explain:
* Mutual exclusion for lifecycle operations.
* Stale lock handling.
* State-lock ownership.
* Duplicate approval rejection.
* Repeated command behavior.
* Apply/destroy interruption.
* Partial resource creation.
* Partial teardown.
* Timeout behavior.
* Retry boundaries.
* Cancellation.
* Evidence preservation.
* Cleanup following failure.
### 9. Complete automated-test design
List exact tests to create or update for:
* Plan identity and invalidation.
* Account/Region/environment mismatch.
* Missing or expired owner approval.
* Wrong plan hash.
* Source/input/lock/state drift.
* Policy failure.
* Cost-limit failure.
* Unexpected create/update/delete.
* Shared-resource targeting.
* Redaction.
* Partial apply.
* Partial destroy.
* KMS PendingDeletion.
* S3 versions/delete markers/multipart uploads.
* Native resource scans.
* Bootstrap-last ordering.
* Idempotency.
* Rollback.
* Zero local test residue.
State which tests use fakes and which later checks require owner-approved AWS access.
### 10. Planned owner TEST-001 guide
Provide all proposed commands together, grouped by topic.
For every topic state:
* Purpose.
* Exact command.
* Expected result.
* Access, cost and privacy impact.
* Evidence produced.
* Stop condition.
The guide must begin with owner-approved exact values in this form:
```powershell
$taskPython = '&lt;approved-external-venv&gt;\Scripts\python.exe'
$taskScripts = '&lt;approved-external-venv&gt;\Scripts'
$env:PRE_COMMIT_HOME = '&lt;approved-external-cache&gt;'
$env:Path = "$taskScripts;$env:Path"
$env:TEMP = '&lt;approved-external-w5-004-temp&gt;'
$env:TMP = $env:TEMP
```
Then verify:
```powershell
&amp; $taskPython --version
(Get-Command python -ErrorAction Stop).Source
(Get-Command detect-secrets-hook -ErrorAction Stop).Source
&amp; $taskPython -B -m pre_commit --version
&amp; $taskPython -m pip show detect-secrets
```
All local commands may be supplied together, but the owner executes them one at a time and stops at the first unexpected result.
Cloud phases must remain separately approved:
1. Read-only identity and prerequisite verification.
2. Bootstrap plan review.
3. Bootstrap apply.
4. Platform plan generation and review.
5. Platform apply.
6. Post-apply verification.
7. Rollback verification.
8. Destroy-plan generation and review.
9. Platform destroy.
10. Native cleanup verification.
11. Bootstrap destroy.
12. Final orphan and cost-bearing-residue scan.
A plan approval does not authorize apply. Apply approval does not authorize destroy. Destroy approval does not authorize broad purge or cleanup of an unexpected resource.
### 11. Security, privacy, cost and operational impact
Cover:
* Credentials and identity.
* Least privilege.
* Sensitive Terraform plan data.
* Account and Region boundaries.
* Shared-resource protection.
* Data residency.
* Logs and evidence.
* Cost and budget exposure.
* Deployment blast radius.
* State retention.
* Rollback limitations.
* KMS lifecycle.
* Retained local and cloud resources.
* Cleanup ownership.
### 12. Consolidated owner decisions
Ask once for every unresolved decision, with:
* Exact decision.
* Recommendation.
* Alternative and trade-off.
* Gate impact.
* Whether it blocks Column L, local TEST-001, plan generation, apply, destroy or final closure.
At minimum reconcile:
1. Current branch, HEAD, source composition and dirty-path baseline.
2. Final prerequisite status of every W5-02 through W5-08 step.
3. Whether the accepted W5-001 Bedrock FAIL permits infrastructure-only lifecycle work.
4. Whether W5-002 documentation and final owner closure are complete.
5. Whether W5-003 documentation and final owner closure are complete.
6. Exact AWS account, profile and expected caller principal.
7. Exact AWS Region and prohibition on infrastructure-region fallback.
8. Exact network ownership and shared-resource exclusions.
9. Exact mandatory tags.
10. Exact `ExpiresAt`.
11. Monthly, daily and lifecycle-test cost ceilings.
12. Cost-alert owner and stop-work authority.
13. Exact Terraform version and provider-lock identity.
14. Backend and state ownership.
15. Whether bootstrap currently exists.
16. Exact external plan/report/cache/temp locations.
17. Exact plan identity and expiry rules.
18. Allowed plan actions and replacement thresholds.
19. Real-plan OPA, Checkov and TFLint gates.
20. Cost-analysis method and acceptance.
21. Typed confirmation phrases for bootstrap apply, platform apply, rollback, purge, destroy and bootstrap destroy.
22. Last-known-good Terraform identity.
23. Project-owned resource inventory.
24. Shared and owner-managed resources that must never be targeted.
25. S3 purge authority.
26. KMS PendingDeletion acceptance and follow-up owner.
27. Retention or cleanup of Terraform state, plans, JSON, reports and caches.
28. Whether W6-12 support is implementation-only and remains NOT RUN.
29. Exact Column L CREATE/UPDATE/DELETE boundary.
30. Exact Column M documentation boundary to be approved only after owner testing.
Do not request Column L until all edit-blocking decisions and the complete producer-consumer/path boundary are reconciled.
---
## COLUMN L POSITION — LATER SEPARATE APPROVAL
Column L may authorize only exact:
* Application/tool code.
* Terraform configuration.
* Configuration schemas.
* Make or platform CLI integration.
* Automated tests.
Column L must include:
* Expected branch and exact HEAD.
* Complete CREATE, UPDATE and DELETE manifest.
* Complete VERIFIED UNCHANGED, DEFERRED and EXCLUDED inventories.
* Protected dirty paths.
* Expected staged and unstaged state.
* Exact external environment, cache and temporary paths.
* Exact approved owner decisions.
* Exact patch contexts and stop conditions.
Column L must not authorize:
* Terraform or AWS execution.
* Software installation.
* Documentation or evidence writing.
* Deployment, rollback, purge, destroy or cleanup.
* Excel changes.
* Git staging, commit or push.
---
## TEST-001 POSITION — LATER OWNER EXECUTION
TEST-001 requires a separate owner approval.
Local validation and cloud lifecycle activity must be divided clearly.
Every result must be classified exactly as:
* PASS
* FAIL
* NOT RUN
* INDETERMINATE
Skipped tests, deselections and warnings must remain separately recorded.
A FAIL stops the sequenc</t>
  </si>
  <si>
    <t>READY FOR PRE-EDIT REVIEW — W5-004</t>
  </si>
  <si>
    <t>W5-09, W5-10, W5-11, W5-12, W6-12</t>
  </si>
  <si>
    <t xml:space="preserve"># W5-004 — Corrected Column L Code Edit Approval
## 1. Purpose and authority
You are authorized to implement the repository-only W5-004 infrastructure lifecycle control plane using the exact manifest and baseline below.
This approval:
* Supersedes and replaces the previously rejected W5-004 Column L prompt.
* Authorizes exactly `18 CREATE`, `30 UPDATE`, and `0 DELETE` paths.
* Does not approve any previously rejected path or inaccurate hash.
* Authorizes code, configuration, Terraform backend declarations, policy changes, schemas, CLI integration, and deterministic automated-test implementation only.
* Does not authorize test execution, Terraform execution, AWS access, Infracost execution, deployment, documentation, Excel changes, Git staging, commit, push, cleanup, or external-resource creation.
Column L completion means only that the approved implementation files are ready for a separate owner TEST-001 authorization.
---
## 2. Business outcome
Implement a controlled infrastructure lifecycle system that can later:
1. Generate an immutable Terraform plan.
2. Bind review and approval to the exact saved plan.
3. Apply only that reviewed plan.
4. Run policy, security, and cost gates before mutation.
5. Prevent approval reuse, target substitution, account substitution, Region substitution, and plan drift.
6. Support separately authorized rollback and destruction.
7. Detect unmanaged or retained AWS resources.
8. Keep credentials, plans, state, reports, and secrets outside the repository.
9. Reuse the same lifecycle contract for the later W6-12 activity without claiming W6-12 execution now.
The implementation must preserve the approved business architecture and must not alter API, RAG, retrieval, embedding, evaluation, guardrail, agent, telemetry, or model behavior.
---
## 3. Approved baseline
Revalidate this baseline before editing:
| Item                                              | Required value                                                     |
| ------------------------------------------------- | ------------------------------------------------------------------ |
| Repository root                                   | `E:\AI\enterprise_ai_platform`                                     |
| Remote                                            | `https://github.com/gprai/enterprize_ai_platform.git`              |
| Branch                                            | `main`                                                             |
| HEAD                                              | `78576879b2c1d13507680872f471345c7b9b6be0`                         |
| Upstream                                          | `origin/main`                                                      |
| Ahead/behind                                      | `0/0`                                                              |
| Tracked files                                     | `498`                                                              |
| Staged paths                                      | `0`                                                                |
| Unstaged paths                                    | `0`                                                                |
| Untracked paths                                   | `0`                                                                |
| Worktree                                          | Clean                                                              |
| Source-composition paths                          | `94`                                                               |
| Source-composition SHA-256                        | `d9596bcbbab2953f2aa9398d34a2b87a5f2d8751f298f680f287d1bd5648ddff` |
| Excel `~$` lock                                   | Absent                                                             |
| Repository Terraform state/plan/cache/crash files | None                                                               |
| Repository W5-004 reports                         | None                                                               |
External W5-004 environment, runtime, temporary, pre-commit, and Infracost paths must remain absent during Column L.
Historical W5-002 evidence, images, tools, and shared Terraform/TFLint/pip caches are protected retained resources and must not be changed or cleaned.
### Pre-edit stop conditions
Stop before editing if:
* The branch or HEAD differs.
* The upstream or ahead/behind state differs.
* Any staged, unstaged, or untracked path exists.
* The source-composition hash differs.
* A CREATE target already exists.
* An UPDATE target is missing or its SHA-256 differs.
* A protected hash differs.
* A repository Terraform state, saved plan, crash file, runtime report, or cache has appeared.
* An owner-controlled or unrelated path overlaps the proposed edits.
Use:
`BLOCKED — BASELINE CHANGED — W5-004.`
If the repository baseline remains exact but a corrected manifest path or hash does not match, use:
`BLOCKED — CORRECTED COLUMN L MANIFEST MISMATCH — W5-004.`
Do not silently substitute, add, remove, or reclassify a path.
---
## 4. Protected paths and hashes
These paths must remain byte-for-byte unchanged:
| Path                                                                              | Required SHA-256                                                   |
| --------------------------------------------------------------------------------- | ------------------------------------------------------------------ |
| `docs/governance/Enterprise_AI_Architecture_Source_of_Truth_v1.1.docx`            | `d4ce5c6d2cbba3704e8f7f385edeb16573cf21e009b1bf7e87914bace03fb04f` |
| `docs/governance/Enterprise_AI_Architecture_6_Week_Execution_Tracker_v1.3.5.xlsx` | `8eae3d44bd1ac277cacbbd5d7528d266427b7cecd36d3e604b2ba8bf1ca0cf3`  |
| `docs/learning/W5-002-W5-003-security-learning-review.docx`                       | `ac029cb6e0a990ede8a81f204b3d46fe9bfb8e154577e0fca2d33f4249359457` |
| `configs/eval/baselines/w3-002-v1.json`                                           | `4bbc8f24af911ba09356196e9285d261549926c713110f9549929e1e4ac9086f` |
| `infra/environments/sandbox/terraform.tfvars.example`                             | `6591ffc050788a08d7a8263a3b1c19199992ebb3adeafbdc2d2ec7c4b06ab630` |
| `docs/cost-estimates/W5-inputs.md`                                                | `0a0653f0f3a9ff83e8514326484e8807ee25cc1032a24d4cd85611a3c9df3687` |
| `infra/bootstrap/.terraform.lock.hcl`                                             | `9b0470598479b3d5b593f1c9f8d40d866a1e68b6bbaca9ffb8e7f784c381d0fc` |
| `infra/environments/sandbox/.terraform.lock.hcl`                                  | `9b0470598479b3d5b593f1c9f8d40d866a1e68b6bbaca9ffb8e7f784c381d0fc` |
| `requirements-runtime.lock`                                                       | `796831a21aaa94d95d1e2a6a831b6770c1c8609527c05e0d079a573e9457a69a` |
| `requirements-ci.lock`                                                            | `8e8592ebf3161f5e8d74d4944bb3b7ef506dd428ce679490dc8170e52e722ad2` |
| `requirements-checkov.lock`                                                       | `1bd2e5915cca74ee60f82443bae15a49c109a1d614888bea1608ea5b18135da6` |
There is no approved Markdown substitute for the Source of Truth DOCX.
The W3-002 baseline may be produced only through the existing promotion boundary. Do not modify it or its consumers.
---
## 5. Exact CREATE manifest — 18 paths
Create only:
1. `configs/lifecycle/w5-004.json`
2. `tools/platformctl/lifecycle_models.py`
3. `tools/platformctl/lifecycle_io.py`
4. `tools/platformctl/terraform_runner.py`
5. `tools/platformctl/policy_runner.py`
6. `tools/platformctl/cost.py`
7. `tools/platformctl/operation_state.py`
8. `tools/platformctl/aws_live.py`
9. `tests/fakes/platform_lifecycle.py`
10. `tests/unit/test_platformctl_plan_identity.py`
11. `tests/unit/test_platformctl_cost.py`
12. `tests/unit/test_platformctl_operation_state.py`
13. `tests/contract/test_w5_004_lifecycle_contract.py`
14. `tests/integration/test_w5_004_lifecycle_composition.py`
15. `tests/feature/test_w5_004_aws_lifecycle.py`
16. `tests/security/test_w5_004_lifecycle_security.py`
17. `tests/rollback/test_w5_004_infrastructure_rollback.py`
18. `tests/teardown/test_w5_004_cleanliness.py`
All 18 targets must be absent during preflight.
---
## 6. Exact UPDATE manifest — 30 paths
Update only the following files, after confirming their exact pre-edit hashes:
| Path                                                | Required pre-edit SHA-256                                          | Approved edit boundary                                                                                                           |
| --------------------------------------------------- | ------------------------------------------------------------------ | -------------------------------------------------------------------------------------------------------------------------------- |
| `Makefile`                                          | `dea24b2a9fb1f8447ec4f11887015774e9110aa12de98965405b4b7b9d1e884e` | `.PHONY`, help, and separately gated lifecycle targets                                                                           |
| `feature-matrix.yaml`                               | `e0d02555a4a6cf271b2a3814ee7023063f814b34b00dac57f4e330eb858b445e` | Extend `AWS-001` paths and W5-09–W5-12 ownership; preserve W5-04; record W6-12 only as reusable lifecycle capability             |
| `infra/bootstrap/versions.tf`                       | `ace9bdf1615e2f17cc0bdc124491a26d51b7c5232e4b063deded1c73cfcf8fe8` | Add an empty externally configured local-backend declaration                                                                     |
| `infra/environments/sandbox/versions.tf`            | `ace9bdf1615e2f17cc0bdc124491a26d51b7c5232e4b063deded1c73cfcf8fe8` | Add an empty externally configured S3-backend declaration                                                                        |
| `policies/opa/terraform_plan.rego`                  | `2da7d082b69befdc1db90eadd746af1d536d61997f882c72b288f984790f2e28` | Real plan input, action classification, no-op support, safe computed values, unknown/sensitive rejection, deterministic findings |
| `policies/opa/terraform_plan_test.rego`             | `6b3fa93de86d6305a68ba18a107dffb97870ab81ebbbc9a31c592ab34952e4a4` | Preserve foundation cases; add no-op, replacement, destructive, malformed, and real-plan-shaped cases                            |
| `tools/platformctl/__init__.py`                     | `e8a916e85bd367db0093f017731898055dbf3715a143944c94bea162f82d234f` | Public lifecycle exports and version surface                                                                                     |
| `tools/platformctl/cli.py`                          | `67683053b47244c5ba37ec4ce5358c483e9b0220c279d315da53aefc1242e5f0` | Parser, mutation request, main dispatch, and separate lifecycle commands                                                         |
| `tools/platformctl/contracts.py`                    | `eadba6b7df4dbd07a179b1e9c54650d5510a65df7cc7601b0f4556f838503156` | Typed action/approval/mutation contracts and strict binding validation                                                           |
| `tools/platformctl/aws_inventory.py`                | `0cbf0527797033730d2169e9033e83c23d9f40f447a4ea31fb8cf5992265ee3a` | Service, state, resource, and inventory-provider contracts                                                                       |
| `tools/platformctl/bootstrap.py`                    | `23da39a0485855061c0cdea9134818c547730a2a9d6f6d921f739244b3f7bd60` | Separate bootstrap plan/apply validation boundaries                                                                              |
| `tools/platformctl/plan.py`                         | `120d460ea1def9173a151f89ec336a071fe1333692de5e7eede84db09ab933c0` | Saved-plan identity, expiry, governed inputs, and drift validation                                                               |
| `tools/platformctl/deploy.py`                       | `51487f68da1ed2468d3c6f4612118cbe7ca321013c52f315a252fea8acf68b58` | Apply only the exact reviewed saved plan                                                                                         |
| `tools/platformctl/validate.py`                     | `103655080d9e84c1f17990f1ffbe65645f85ebba98a675771eaac2404f6cca7f` | W5-004 files, `AWS-001`, feature and repository validation                                                                       |
| `tools/platformctl/rollback.py`                     | `40bc0ad633ebc157433ef1bdf5da15d58bd0bdc12aee083b02ab85e456d4ba3d` | Separate infrastructure rollback from release rollback                                                                           |
| `tools/platformctl/destroy.py`                      | `ebfd3def9a7206ebbd15b9447e922c2568403330a53b117c95e38f812a49be5c` | Platform destroy, purge, and bootstrap-last gates                                                                                |
| `tools/platformctl/verify_clean.py`                 | `16238de8d042a404b4949cdd6abe14c673688304f9312ac98b61c2c1ec0a8763` | Managed-tag checks, resource identity, KMS residual handling, and cleanliness verification                                       |
| `tests/unit/test_platformctl.py`                    | `22e5903f8d28b67cd2cb5b55b7b4bc7af80c30baaef56b9e7ff99cfcb6f06dba` | Repository and `AWS-001` path contracts                                                                                          |
| `tests/unit/test_platformctl_lifecycle.py`          | `729c5c80cdf1480f8319efb9b07b10dd1471e1d2f41e11dfc4d08647cddc12a9` | Approval lifetime, action isolation, mismatch, expiry, and reuse                                                                 |
| `tests/unit/test_platformctl_verify_clean.py`       | `cae22ee5b30c11022c6e504445fd1c4b1f3be467c326bbc33893876fe8982f90` | Native resource coverage, unmanaged resources, and KMS `PendingDeletion`                                                         |
| `tests/contract/test_platformctl_cli_contract.py`   | `7b9b4b9d2ec07216d0279201bd8e87889231cc48d71f9af69aba1ce3d0a2149c` | Exact commands, actions, exit codes, and inventory services                                                                      |
| `tests/contract/test_terraform_module_contract.py`  | `e19ce27123cc7dcb7ef71f6854d719078239360eba4479c90c3a1e9c493a55d1` | Terraform roots, versions, locks, and backend boundary                                                                           |
| `tests/integration/test_platformctl_dry_run.py`     | `6d5e42d16f08fb2820683f9cbc1d7d7390bef03a65a0bb8371a43b83f8b6a625` | Offline composition using fakes; no real Terraform, AWS, or Infracost                                                            |
| `tests/feature/test_feature_matrix.py`              | `18430f6e93e761b9334919320559c9fc468ee766d431e3fbfa3f39f4c99ee3ff` | Exact `AWS-001` W5-004 paths/steps; preserve ordered feature inventory                                                           |
| `tests/feature/test_mvp_001_platformctl.py`         | `459d7701a53af361c57e2636cb4f2d6ee435a926cb0a5cd50904a58aefe18048` | Expanded lifecycle commands without changing MVP ownership                                                                       |
| `tests/smoke/test_platformctl_help.py`              | `5ab4d191734db56230c8aecc9bbb0f6afd9bcc832150a3226f13ed3458f3ec9a` | Help output and non-mutating command discovery                                                                                   |
| `tests/security/test_platformctl_approval_gates.py` | `b5ad5de4c4aa0368588b5dab3234be948629c59075f5e63cd9cf8c81a94149d1` | Typed, expiring, single-use, action/target/hash-bound approvals                                                                  |
| `tests/security/test_repository_security.py`        | `92f3273b327d4063bbab711dbdf2b8b7b4579217087f63a5ea5aa8f652d42367` | Bounded process/filesystem capabilities; reject secrets and unsafe paths                                                         |
| `tests/teardown/test_platformctl_cleanup.py`        | `9669e29a0eb23104081cb82f2f4f17876b6574c414941bad6cdd76219e34a3de` | External-operation cleanup and backend contract                                                                                  |
| `tests/teardown/test_terraform_state_boundary.py`   | `a5e2c9537bfe0aadde1d8087f8f7d74faba308ef239722b1bcc6310444aaff0a` | State, plan, JSON, cache, crash, and repository-residue boundaries                                                               |
No DELETE path is approved.
---
## 7. Functional implementation contract
### 7.1 Lifecycle configuration
`configs/lifecycle/w5-004.json` must define a strict, deterministic, non-secret lifecycle contract covering:
* Schema version.
* Repository identity.
* AWS profile, account, Region, and expected caller identity.
* Terraform bootstrap and sandbox roots.
* External runtime, temporary, report, plan, state, lock, and cache boundaries.
* Plan lifetime of 60 minutes.
* `ExpiresAt` validation.
* Cost ceilings.
* Infracost executable identity and network restrictions.
* Approved tool versions.
* Permitted lifecycle actions.
* Managed-resource identification.
* Cleanup and retained-resource rules.
Reject extra, missing, malformed, noncanonical, unsafe, or inconsistent values.
### 7.2 Canonical lifecycle models and I/O
Implement strict immutable models for:
* Operation identity and status.
* Terraform plan identity.
* Plan actions and summaries.
* Policy findings.
* Cost findings.
* Approval records.
* Retained resources.
* Cleanup results.
* AWS inventory results.
* Rollback and destroy eligibility.
Canonical artifacts must use:
* UTF-8 without BOM.
* Deterministic ordering.
* Canonical JSON serialization.
* Lowercase SHA-256.
* UTC RFC 3339 timestamps ending in `Z`.
* Atomic writes into approved external directories only.
* No secret, credential, token, raw environment, or unrestricted exception content.
### 7.3 Terraform execution boundary
The Terraform runner must:
* Use argument arrays without `shell=True`.
* Use only an explicitly approved executable.
* Use only the bootstrap or sandbox Terraform root.
* Keep state, saved plans, plan JSON, `.terraform`, crash files, and variable material outside the repository.
* Initialize only with explicit backend parameters.
* Generate a saved binary plan before JSON conversion.
* Hash and record the binary plan, normalized plan JSON, governed inputs, source composition, tool versions, account, Region, and creation/expiry times.
* Apply only the exact reviewed saved binary plan.
* Never auto-replan during apply.
* Reject expired, altered, missing, mismatched, or already-consumed plans.
* Preserve cancellation and return bounded safe errors.
* Avoid raw stdout/stderr or secret-bearing diagnostic retention.
Initial platform eligibility must allow only:
* `create`
* `read`
* `no-op`
It must reject:
* `update`
* `delete`
* `replace`
* Mixed destructive sequences
* Unknown policy-critical values
* Sensitive values that cannot be safely classified
### 7.4 Policy boundary
The policy runner must support bounded invocation of:
* OPA `1.20.0`
* Checkov `3.3.16`
* TFLint `0.60.0`
* AWS ruleset `0.48.0`
The runner must:
* Normalize sanitized Terraform plan JSON.
* Support genuine no-op plans.
* Classify action sequences deterministically.
* Permit computed values only when they are not policy-critical or sensitive.
* Reject unknown security-critical values.
* Produce safe, deterministic findings.
* Never weaken W5-003 policy rules.
* Never claim W5-003 real-plan completion merely because W5-004 adds the adapter.
### 7.5 Cost boundary
The cost adapter must use only:
* Infracost `0.10.45`.
* `E:\AI\.tools\infracost\0.10.45\infracost.exe`.
* Process-scoped `INFRACOST_API_KEY`.
* Pricing traffic to `pricing.api.infracost.io`.
* `dashboard.api.infracost.io` only when demonstrably required.
* Local Terraform plan JSON input through the CLI.
* No direct Plan JSON API upload.
It must:
* Reject missing, malformed, stale, or mismatched cost output.
* Separate supported, unsupported, and usage-dependent costs.
* Keep unknown usage costs `INDETERMINATE`.
* Enforce the USD 3 lifecycle ceiling.
* Avoid calling AWS for cost calculation.
* Never persist or log the API key.
* Preserve asset-level attestation as `INDETERMINATE`.
Column L must implement this boundary but must not install, authenticate, or execute Infracost.
### 7.6 Approval and operation-state controls
Mutation actions must be exact finite values:
* `BOOTSTRAP-APPLY`
* `PLATFORM-APPLY`
* `INFRASTRUCTURE-ROLLBACK`
* `PURGE-SANDBOX`
* `PLATFORM-DESTROY`
* `BOOTSTRAP-DESTROY`
Every mutation approval must be:
* Explicit.
* Typed.
* Single-use.
* Unexpired.
* Bound to the exact action.
* Bound to account and Region.
* Bound to the exact operation and target.
* Bound to the exact saved-plan and configuration hashes when applicable.
* Rejected after use, mismatch, expiry, cancellation, or failure.
Operation locking must:
* Prevent concurrent conflicting operations.
* Use atomic creation.
* Avoid unbounded waiting.
* Detect stale or malformed state safely.
* Keep lock and operation files outside the repository.
* Avoid background threads or tasks.
* Never override a live operation.
### 7.7 AWS boundary
`aws_live.py` must provide an injectable, narrow live-AWS implementation behind the existing inventory contracts.
It must:
* Use the approved profile `default`.
* Require account `526338061652`.
* Require Region `ap-southeast-1`.
* Require caller `arn:aws:iam::526338061652:user/finopsinfra`.
* Fail closed on caller, account, Region, credential, service, pagination, or response-shape mismatch.
* Never accept credentials through JSON, CLI arguments, repository files, reports, or logs.
* Use bounded calls, explicit timeouts, bounded pagination, and no uncontrolled retry loop.
* Return normalized resource metadata only.
* Support deterministic fake implementations for all automated tests.
Column L must not make an AWS call.
### 7.8 Cleanup, destroy, and rollback
The implementation must enforce:
* Platform destroy before bootstrap destroy.
* Explicit approval for S3 purge.
* No implicit or recursive deletion outside approved targets.
* KMS `PendingDeletion` with the approved seven-day window as an expected time-bound residual.
* Exact managed-tag and account/Region matching.
* Unmanaged or ambiguous resources block cleanliness.
* Cost-bearing residuals block clean closure.
* Bootstrap destruction is the final separately approved action.
* No claim of rollback capability to a last-known-good Terraform deployment because none currently exists.
Rollback tests must use deterministic fakes only. No real rollback or destroy is authorized.
### 7.9 Backend declarations
Add empty externally configured backend blocks only:
* Bootstrap: local backend.
* Sandbox: S3 backend.
Do not write bucket names, credentials, secrets, state paths, or backend runtime values into source files.
Existing provider lockfiles must remain unchanged.
### 7.10 Feature and command integration
Extend `AWS-001` and the platform CLI without changing existing ownership.
Provide separately discoverable commands and Make targets for:
* Validation.
* Bootstrap planning.
* Bootstrap apply.
* Platform planning.
* Policy review.
* Cost review.
* Platform apply.
* AWS verification.
* Infrastructure rollback.
* Destroy planning.
* S3 purge.
* Platform destroy.
* Bootstrap destroy.
* Cleanliness verification.
A single command must not silently combine independently approved mutations.
W6-12 may reuse these contracts later, but remains `NOT RUN`.
---
## 8. Automated-test implementation requirements
Create deterministic tests covering:
* Strict lifecycle configuration and schemas.
* Canonical serialization and hashing.
* Plan identity, expiry, drift, mutation, and consumption.
* No-op, create, update, replacement, and delete classification.
* Policy-critical unknown and sensitive-value rejection.
* Cost ceiling, unsupported cost, usage-dependent cost, malformed result, and API-key redaction.
* Operation locking, contention, stale state, malformed state, and cleanup.
* Approval expiry, reuse, action mismatch, target mismatch, account mismatch, Region mismatch, and hash mismatch.
* Exact saved-plan application and prohibition of automatic replanning.
* Bootstrap/platform separation.
* Infrastructure rollback separation from application release rollback.
* S3 purge, platform destroy, and bootstrap-last gates.
* Managed tags, unmanaged resources, orphan detection, cost-bearing residuals, and KMS `PendingDeletion`.
* CLI, Makefile, help, exit-code, feature-matrix, and repository contracts.
* No credentials, tokens, API keys, raw plans, state, provider envelopes, or unrestricted exceptions in output.
* No repository state, plan, cache, crash, report, lock, temporary, or bytecode residue.
* No real Terraform, AWS, Infracost, Docker, GitHub, deployment, rollback, destroy, or network activity.
All process and filesystem behavior in automated tests must use deterministic fakes or task-owned temporary directories.
Do not execute these tests during Column L.
---
## 9. VERIFIED UNCHANGED consumers
In addition to the 11 protected paths, preserve these files unchanged.
### Repository and CI controls
* `.gitignore`
* `.pre-commit-config.yaml`
* `.secrets.baseline`
* `.github/workflows/ci.yml`
* `.github/workflows/plan-sandbox.yml`
* `.github/workflows/security-scan.yml`
* `.checkov.yml`
* `.tflint.hcl`
* `configs/ci/w5-002.json`
* `configs/verification/bedrock-owner-test.json`
* `docker/application.Dockerfile`
* `docker/application.Dockerfile.dockerignore`
* `pyproject.toml`
* `requirements.txt`
* `requirements-dev.txt`
* `requirements-checkov.txt`
### Terraform roots and modules
* `infra/bootstrap/main.tf`
* `infra/bootstrap/variables.tf`
* `infra/bootstrap/outputs.tf`
* `infra/environments/sandbox/main.tf`
* `infra/environments/sandbox/variables.tf`
* `infra/environments/sandbox/outputs.tf`
* `infra/environments/sandbox/backend.hcl.example`
* `infra/modules/network/main.tf`
* `infra/modules/network/variables.tf`
* `infra/modules/network/outputs.tf`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Policies, tools, and test consumers
* `policies/opa/exceptions.json`
* `tools/platformctl/__main__.py`
* `tools/w5_002_ci.py`
* `tools/bedrock_owner_verify.py`
* `tools/releasectl.py`
* `tools/verify_w2_004_local.py`
* `tests/fakes/aws_inventory.py`
* `tests/integration/test_repository_layout.py`
* `tests/integration/test_dependency_contract.py`
* `tests/integration/test_w5_002_ci_composition.py`
* `tests/feature/test_mvp_001_mapping.py`
* `tests/feature/test_w2_002_embedder_contract.py`
* `tests/feature/test_w2_003_ingestion_contract.py`
* `tests/feature/test_terraform_sandbox_plan.py`
* `tests/feature/test_policy_gate.py`
* `tests/feature/test_w5_002_supply_chain.py`
* `tests/security/test_terraform_security.py`
* `tests/security/test_policy_pack.py`
* `tests/security/test_precommit_controls.py`
* `tests/contract/test_policy_exception_contract.py`
* `tests/contract/test_w5_002_workflow_contract.py`
* `tests/rollback/test_policy_pack_rollback.py`
* `tests/teardown/test_policy_pack_cleanliness.py`
* `tests/teardown/test_repository_cleanliness.py`
* `tests/teardown/test_w1_002_cleanliness.py`
* `tests/teardown/test_w5_002_cleanliness.py`
* `tests/teardown/test_bedrock_owner_verify_cleanliness.py`
* `tests/unit/test_w5_002_ci.py`
If any of these requires modification, stop and request a revised manifest.
---
## 10. Deferred work
### Documentation
Do not create or update:
* `docs/deployment-records/W5-plan-review.md`
* `docs/deployment-records/W5-sandbox.md`
* `docs/deployment-records/W5-destroy-plan.md`
* `docs/resource-cleanliness/W5-report.json`
* `docs/test-evidence/README.md`
* ADR-015
These require a separate Column M approval after owner testing.
### External and runtime work
The following remain deferred:
* Creation or modification of `E:\AI\.venvs\enterprise-ai-platform-windows-py31315`
* `E:\AI\.runtime\enterprise_ai_platform\w5-004\owner-test-01`
* `E:\AI\.tmp\enterprise-ai-platform-w5-004\owner-test-01`
* `E:\AI\.pre-commit-cache\enterprise-ai-platform-w5-004`
* `E:\AI\.tools\infracost\0.10.45\infracost.exe`
* Infracost download, installation, authentication, or execution
* Live STS identity verification
* AWS bootstrap discovery
* Terraform initialization
* Terraform plan or apply
* Saved plan and real plan-JSON generation
* Real OPA, Checkov, TFLint, or cost review
* AWS post-apply verification
* Infrastructure rollback
* Destroy-plan generation or execution
* S3 purge
* Bootstrap destroy
* Cloud cleanliness verification
* Column M or Column N
* Tracker update
* Git mutation
* W6-12 execution
---
## 11. Explicit exclusions
Do not:
* Change application, API, RAG, retrieval, embedding, evaluation, guardrail, agent, model, or telemetry business code.
* Write documentation or canonical evidence.
* Modify Excel or the tracker.
* Alter or clean historical W5-002 evidence.
* Store Terraform state, plans, JSON output, caches, reports, credentials, or crash files in the repository.
* Write credentials, access keys, session tokens, or API keys anywhere.
* Contact AWS, Bedrock, ECR, EKS, GitHub-hosted runners, Infracost, or another external service.
* Build, push, pull, or deploy an image.
* Run Terraform, tests, validators, formatters, linters, scanners, policies, or hooks.
* Stage, commit, push, reset, or discard repository changes.
* Use `git add .`, `--no-verify`, or another approval bypass.
* Modify a 49th repository path.
If a 49th path is required, stop with:
`BLOCKED — COLUMN L PATH EXPANSION REQUIRED — W5-004.`
---
## 12. Carried-forward owner decisions
Implement consistently with these approved facts:
* W5-001 remains formally `FAIL`; infrastructure-only W5-004 work may proceed.
* W5-002 current closure and all historical failures remain intact.
* W5-003 offline-policy result remains `PASS`; real-plan evaluation remains deferred.
* AWS profile: `default`.
* AWS account: `526338061652`.
* AWS Region: `ap-southeast-1`.
* Expected caller: `arn:aws:iam::526338061652:user/finopsinfra`.
* Networking: project-owned only.
* Shared resources, public ingress, and NAT Gateway: excluded.
* Owner `ExpiresAt`: `2026-12-09T23:59:59Z`.
* Any real plan requires a future UTC `ExpiresAt` no more than 24 hours after plan creation; refresh the supplied value when necessary.
* Lifecycle spending ceiling: USD 3.
* Daily cost alert: USD 3.
* Monthly budget: USD 60.
* Alert destination: `shonarai1988@gmail.com`.
* Cost-alert owner and stop-work authority: Gyan Prakash Rai.
* Terraform: `1.16.1`.
* AWS provider: `6.55.0`.
* OPA: `1.20.0`.
* TFLint: `0.60.0`.
* TFLint AWS ruleset: `0.48.0`.
* Checkov: `3.3.16`.
* Infracost: `0.10.45`.
* Infracost asset-level attestation: `INDETERMINATE`.
* KMS deletion window: seven days.
* Separate typed approvals are mandatory for plan, apply, infrastructure rollback, purge, platform destroy, and bootstrap destroy.
* There is no current last-known-good Terraform deployment.
* W6-12 receives reusable implementation only and remains `NOT RUN`.
---
## 13. Required Column L handoff
After completing the approved edits:
1. Do not run any command or test.
2. Do not stage or commit anything.
3. Report every created and updated path.
4. Confirm `18 CREATE`, `30 UPDATE`, `0 DELETE`, and `48` total editable paths.
5. Report any deviation or unresolved implementation issue.
6. Confirm that every protected and VERIFIED UNCHANGED path remains unchanged.
7. Confirm that no state, plan, report, cache, credential, documentation, Excel, runtime, or external resource was created.
8. Prepare a separate owner TEST-001 guide containing all proposed commands together, grouped by topic with:
   * Purpose
   * Exact command
   * Expected result
   * Access, cost, privacy, and mutation impact
   * Stop condition
9. Do not execute </t>
  </si>
  <si>
    <t>COLUMN M — EXACT DOCUMENT WRITING APPROVAL — W5-004
## 1. Task identity
* Prompt ID: `W5-004`
* Week: Week 5
* Feature: Reviewed deploy, rollback, teardown and orphan scan
* Covered tracker steps:
  * `W5-09` — Plan review
  * `W5-10` — Sandbox lifecycle
  * `W5-11` — Teardown plan
  * `W5-12` — Cleanliness proof
* Future reusable consumer:
  * `W6-12` — Final Week 6 teardown
* Current gate: Column M documentation writing
* Previous gate: Column L implementation and owner-executed lifecycle testing
* Next gate: Separate Column N final approval and complete documentation closure
This prompt authorizes documentation work only. It does not authorize source changes, validation execution, AWS access, Terraform operations, Git mutation, tracker editing or final approval.
## 2. Current lifecycle position
The owner completed the W5-004 lifecycle in this order:
1. Read-only AWS identity and prerequisite verification — completed.
2. Bootstrap plan review — completed.
3. Bootstrap apply — completed.
4. Platform plan and policy/cost review — completed with recorded qualifications.
5. Platform apply — completed.
6. Post-apply verification — completed.
7. Infrastructure rollback verification — completed through an owner-approved targeted rollback.
8. Destroy-plan review — completed.
9. Platform destroy — completed.
10. Native orphan verification — completed.
11. Bootstrap destroy — completed.
12. Final cost-bearing-residue verification — completed with two expected KMS `PendingDeletion` tails and unresolved delayed billing evidence.
Do not convert this Week 5 lifecycle into completion of `W6-12`. Week 6 final teardown remains `NOT RUN` and requires new infrastructure, plans, evidence and owner approvals.
## 3. Column L implementation baseline
Treat the current uncommitted working tree as the W5-004 Column L implementation baseline.
Owner-reported repository state:
* 42 tracked files modified.
* Multiple new lifecycle files exist.
* No Git staging was performed.
* No commit was created.
* No push occurred.
* No repository cleanup was performed.
Preserve all current Column L code, tests, configuration, IaC and external evidence unchanged.
Do not:
* normalize or clean the working tree;
* stage, commit, reset, restore, discard or push anything;
* rewrite Column L source;
* change tests, policies, Terraform, schemas or configuration;
* delete untracked files;
* move external evidence into the repository;
* claim that uncommitted source is release-ready;
* infer that the owner approved a Git commit or production promotion.
## 4. Column L implementation delivered
Document the following implementation accurately.
### 4.1 Lifecycle-control framework
Column L added or extended a W5-004 lifecycle-control framework under `tools/platformctl/` covering:
* typed lifecycle contracts;
* operation state and locking;
* immutable saved-plan artifacts;
* secure external evidence input and output;
* Terraform execution boundaries;
* policy execution;
* AWS inventory and live adapters;
* cost handling;
* rollback and destroy controls;
* single-use operation directories;
* hash-bound inputs, plans, policy results, approvals, state evidence and runtime identities;
* separate owner-gated actions for bootstrap apply, platform apply, infrastructure rollback, platform destroy and bootstrap destroy;
* state lineage and serial validation;
* AWS account, Region and principal validation;
* plan action-boundary validation;
* private Windows DACL-protected evidence directories.
### 4.2 Terraform lifecycle controls
Document:
* sandbox and bootstrap expiry sentinels;
* mandatory ownership and expiry tags;
* private VPC and endpoint controls;
* KMS encryption;
* ECR and S3 controls;
* IAM roles and policies;
* OpenSearch logging;
* Terraform version pinned to `1.16.1`;
* AWS provider pinned to `6.55.0`.
### 4.3 OPA real-plan review
Document:
* sanitized Terraform plan normalization;
* sensitive-value handling;
* action, scope, expiry, tag, identity, resource and lifecycle validation;
* recovery-plan and destroy-plan scope handling;
* `127/127` OPA policy tests passing.
Do not represent synthetic or unit policy tests as proof of a different live plan. Tie every real-plan statement only to its exact saved-plan evidence.
### 4.4 KMS compatibility remediation
Document the bounded correction exactly:
* Removed only `kms:ViaService` from `AllowExactOpenSearchLogEncryption` in `infra/modules/kms/main.tf`.
* Retained the regional CloudWatch Logs service principal.
* Retained seven KMS actions.
* Retained the wildcard KMS key resource required by the key-policy statement.
* Retained the four exact OpenSearch log-group encryption-context ARNs.
* Updated plan and AWS inventory diagnostics.
* Updated OPA recognition of the exact pre-remediation and post-remediation policy shapes.
* Added positive and negative coverage, including reordered-action and duplicate-action cases.
Do not describe this as broad IAM permission expansion.
## 5. Owner-executed validation facts
Record these results exactly:
* Ruff check: `PASS`.
* Ruff format check: `PASS`.
* Windows MyPy: `PASS` across 117 source files.
* Terraform formatting check: `PASS`.
* Focused policy regression: `PASS`, 6 tests.
* Production-dispatch regression: `PASS`, 10 tests.
* OPA strict check: `PASS`.
* OPA policy tests: `PASS`, `127/127`.
* Earlier full Python suite:
  * `1994 passed`
  * `7 skipped`
  * `4 deselected`
  * `10 subtests passed`
Also record the unresolved validation gap exactly:
* A later full-suite execution found one protected-identity digest mismatch after the KMS test-source change.
* The isolated retry passed.
* No later complete all-suite green rerun is recorded after the final OPA and KMS edits.
* Therefore the final current source tree must not be described as fully release-validated or release-ready.
* A complete current Python-suite rerun remains required after final source review.
* Column M must document this gap. Column M must not run the suite or convert the gap into `PASS`.
* Column N must preserve the gap unless the owner later supplies complete successful evidence.
Do not infer current full-suite success from the earlier run or isolated retry.
## 6. Infrastructure execution facts
Document the lifecycle phases as follows.
### 6.1 Forward platform plan and apply
* Exact saved plan: `saved-plan-015`.
* Owner-reported actions applied:
  * 5 creates;
  * 25 updates;
  * 0 deletes;
  * 0 replacements;
  * 0 imports.
* Owner-supplied abbreviated plan SHA-256: `d69eaf...23788`.
The abbreviated hash is not the full cryptographic identity. During documentation preflight, retrieve the full value only from the canonical retained evidence. If it cannot be verified, record the full hash as pending and do not invent it.
### 6.2 Post-apply verification
* PA-02 through PA-15: `PASS`.
* PA-16 cost review: cost gate remained waived with accepted risk.
* PA-17 evidence reconciliation: `PASS`.
* PA-18 final post-apply decision: `PASS`.
* Primary external evidence:
  * `saved-plan-015\post-apply-verification-001`
Preserve the distinction between post-apply verification and later rollback, destroy and final residue verification.
### 6.3 Targeted infrastructure rollback
* Exact saved plan: `saved-plan-016`.
* Removed:
  * the OpenSearch domain;
  * four managed CloudWatch log groups.
* Retained:
  * the CloudWatch Logs resource policy.
* Owner-supplied abbreviated rollback-plan SHA-256:
  * `636f1c...0e369`
Record that rollback assurance was initially waived because there was no independent pre-existing last-known-good Terraform deployment. A later, separately approved targeted rollback was nevertheless planned, applied and verified. Do not rewrite the initial limitation or describe the targeted rollback as proof of a pre-existing last-known-good deployment.
### 6.4 Full platform destroy
* Exact saved destroy plan: `saved-destroy-017`.
* Applied:
  * 37 deletes.
* Result:
  * platform Terraform state became empty.
* Owner-supplied abbreviated destroy-plan SHA-256:
  * `f0bd42...c041b`
Retrieve the full hash from canonical evidence if available. Do not invent missing characters.
### 6.5 Bootstrap destroy
* Exact bootstrap destroy plan: `saved-bootstrap-destroy-018`.
* Applied:
  * 11 deletes.
* Removed:
  * state bucket;
  * DynamoDB lock table;
  * state KMS alias;
  * all bootstrap-managed resources.
* Owner-supplied abbreviated plan SHA-256:
  * `334443...c6663`
### 6.6 Final verification
* Final result: `PASS`.
* Owner-supplied evidence location:
  * `E:\AI\.tmp\enterprise-ai-platform-w5-004\owner-test-01\consolidated-remediation-001\saved-bootstrap-destroy-018\post-bootstrap-destroy-verification-001\bootstrap-post-destroy-verification-result.json`
* Final evidence SHA-256:
  * `ce6e81bb3e32282da30cb2aa89b792e486a6ed894963d7b35d90acbb9a62bbed`
Confirm the exact filesystem path during read-only preflight. The owner hand-off contained formatting that could be misread as `E:\AI.tmp`; do not silently choose between path variants. Use only the verified canonical path.
## 7. Final AWS state
Record:
* Platform Terraform state: empty.
* Bootstrap Terraform state: empty.
* Bootstrap lineage:
  * `c446f9a2-77d4-9954-20fa-523205d86a8a`
* Bootstrap serial:
  * `31`
Record these resources as absent based on owner-supplied final verification:
* platform VPC;
* endpoints;
* subnets;
* security groups;
* IAM roles and policies;
* ECR repository;
* S3 bucket;
* CloudWatch log groups;
* CloudWatch Logs resource policy;
* OpenSearch resources;
* platform aliases;
* bootstrap state bucket;
* versioned state objects;
* DynamoDB lock table;
* state KMS alias;
* all other bootstrap-managed resources covered by the final verification.
Do not claim global account cleanliness. Scope the conclusion to the project, account, Region, services and discovery boundaries proven by the retained W5-004 evidence.
## 8. Expected residual resources
Record exactly two intentional KMS deletion tails:
1. Platform KMS key:
   * Key ID: `674992cd-d8ea-4c13-9f93-0e0267f273e4`
   * Status: `PendingDeletion`
   * Scheduled deletion:
     * `2026-09-23T12:14:16.738+08:00`
2. Bootstrap-state KMS key:
   * Key ID: `4a7a47a4-ab04-4f03-b3e8-251297dcbc3f`
   * Status: `PendingDeletion`
   * Scheduled deletion:
     * `2026-09-23T15:40:48.581+08:00`
Classify these as expected, time-bound AWS deletion tails—not active usable platform resources and not yet proven absent.
Required deferred verification:
* After both scheduled deletion times, the owner must verify through native AWS read-only checks that both keys have transitioned from `PendingDeletion` to absence.
* Until that verification occurs, do not state that KMS physical deletion is complete.
* Column M must not contact AWS or perform the future verification.
* Assign the follow-up to the owner.
* Preserve the exact dates, timezone and key identifiers.
## 9. Cost and governance facts
Record:
* Lifecycle cost gate:
  * `WAIVED/ACCEPTED_RISK — NOT PASS`
* Advisory Infracost estimate:
  * `$195.184/month`
* Estimated four-hour fixed subtotal:
  * approximately `$1.07`
* Unpriced or incompletely priced:
  * ECR;
  * S3;
  * interface-endpoint data transfer;
  * CloudWatch Logs;
  * KMS requests;
  * teardown activity;
  * retained deletion-tail charges.
* No billing query established a hard USD 3 ceiling.
* `USD_3_BOUNDED=false`.
* Delayed billing evidence has not yet been reconciled.
* Actual incurred and tail cost remains pending.
* Production eligibility:
  * `BLOCKED`
* Data boundary:
  * synthetic;
  * non-sensitive;
  * non-production.
Required deferred cost work:
* Obtain delayed AWS billing evidence after charges have had time to appear.
* Reconcile actual incurred cost, delayed variable charges, teardown cost and retained-tail cost.
* Do not change the waived gate to `PASS`.
* Do not claim that actual cost remained under USD 3 without billing evidence.
* Assign this follow-up to the owner.
## 10. Production and release-readiness restrictions
Keep production promotion blocked until all of the following are separately resolved:
1. The lifecycle-cost gate is genuinely implemented and passes without waiver.
2. Independent rollback readiness is defined before deployment.
3. The complete current Python suite passes after final source review.
4. The uncommitted Column L working tree is reviewed and normalized under separate authorization.
5. An authorized Git commit and review process is completed.
6. Delayed billing evidence is reconciled.
7. Both expected KMS deletion tails are verified absent.
8. All other applicable release gates pass.
Do not describe W5-004 as production-ready merely because the sandbox lifecycle and teardown succeeded.
## 11. Exact documentation boundary
Classify every path under exactly one heading after read-only preflight.
### CREATE
* `docs/test-evidence/W5-004.md`
* `docs/deployment-records/W5-plan-review.md`
* `docs/deployment-records/W5-sandbox.md`
* `docs/deployment-records/W5-destroy-plan.md`
* `docs/resource-cleanliness/W5-report.json`
* `docs/resource-cleanliness/W6-final.json`
### UPDATE
* `docs/test-evidence/README.md`
### VERIFIED UNCHANGED
* None.
### EXCLUDED
Every repository path not enumerated above, including:
* application code;
* lifecycle-control source;
* Terraform;
* OPA;
* configuration;
* schemas;
* automated tests;
* external evidence;
* Excel tracker fields;
* Git index and history.
If an expected CREATE path already exists or the UPDATE path is missing, do not silently reclassify it. Report the actual state and stop for owner clarification unless the current repository and approved prior evidence prove that the classification was intentionally superseded.
Do not add any document outside this seven-path boundary.
## 12. Document-specific requirements
### 12.1 `docs/test-evidence/W5-004.md`
Create the consolidated owner-test record containing:
* task purpose and scope;
* Column L implementation summary;
* exact validation results;
* unresolved full-suite validation gap;
* plan/apply, post-apply, rollback, destroy and bootstrap-destroy outcomes;
* final residue result;
* cost waiver and limitations;
* expected KMS deletion tails;
* delayed billing follow-up;
* uncommitted working-tree status;
* production block;
* evidence locations and verified hashes;
* fields pending Column N;
* `Final Owner Approval` section.
### 12.2 `docs/deployment-records/W5-plan-review.md`
Create the plan-review record containing:
* prerequisite and identity controls;
* exact applicable forward-plan identity;
* source, state and policy binding;
* action summary;
* OPA outcome;
* cost waiver;
* accepted risks;
* owner approval boundaries;
* invalidated, failed or superseded plans only when supported by canonical evidence;
* prohibition on plan reuse;
* fields pending Column N;
* `Final Owner Approval` section.
Do not reconstruct missing plan history from memory or filenames alone.
### 12.3 `docs/deployment-records/W5-sandbox.md`
Create the deployment record containing:
* bootstrap and platform lifecycle sequence;
* applied plan identity;
* actual action summary;
* resource and state results;
* post-apply PA results;
* KMS compatibility outcome;
* security and private-network findings;
* targeted rollback result;
* cost and model limitations;
* exact distinction between infrastructure success and production/model readiness;
* fields pending Column N;
* `Final Owner Approval` section.
### 12.4 `docs/deployment-records/W5-destroy-plan.md`
Create the teardown-plan record containing:
* platform destroy-plan identity;
* expected and actual deletion scope;
* exclusion of shared and owner-managed resources;
* bootstrap-last sequencing;
* separate approvals;
* platform destroy result;
* bootstrap destroy-plan identity and result;
* state-empty results;
* expected KMS deletion tails;
* fields pending Column N;
* `Final Owner Approval` section.
### 12.5 `docs/resource-cleanliness/W5-report.json`
Create valid deterministic JSON containing, at minimum:
* schema version;
* task ID;
* environment;
* account;
* Region;
* verification status;
* verification timestamp from canonical evidence;
* platform state result;
* bootstrap state result;
* service-specific resource results;
* expected residuals;
* unexpected residuals;
* cost-bearing residual classification;
* evidence path;
* evidence SHA-256;
* limitations;
* deferred verification;
* fields pending Column N or an equivalent structured approval object.
The JSON must distinguish:
* absent resources;
* expected `PendingDeletion` KMS tails;
* unexpected active resources;
* unverified future absence;
* delayed cost evidence.
Do not state zero physical residuals while the two KMS keys remain `PendingDeletion`.
### 12.6 `docs/resource-cleanliness/W6-final.json`
This path is required by tracker v1.3.5 as a future reusable W6 consumer. Create it without falsely claiming W6 execution.
It must state:
* Week 6 task `W6-12`: `NOT RUN`;
* this file currently contains only the W5-004 reusable lifecycle handover or baseline;
* no Week 6 plan, deployment, rollback, destroy or final cleanup has occurred;
* W5 saved-plan bytes must not be reused for Week 6;
* Week 6 requires fresh inputs, state, hashes, policy review, cost review, approvals and native discovery;
* current W5 expected KMS tails and follow-up status;
* fields pending future W6 execution;
* fields pending Column N for the W5 handover section.
Do not label this file as a completed Week 6 final cleanliness report.
### 12.7 `docs/test-evidence/README.md`
Update only the minimum relevant index content:
* add W5-004 evidence;
* link the six new documents;
* summarize the lifecycle result truthfully;
* show the full-suite gap;
* show cost waiver and production block;
* show KMS-tail and billing follow-ups;
* show W6-12 as `NOT RUN`;
* preserve all existing historical entries and status wording;
* include fields pending Column N where required.
## 13. Documentation preflight
Before editing:
1. Read all seven exact paths.
2. Classify each path as CREATE or UPDATE exactly as authorized.
3. Verify the current Column L working-tree baseline without modifying it.
4. Read the canonical external evidence required to support each claim.
5. Verify the complete hashes where the owner supplied only abbreviated values.
6. Verify the exact final-result evidence path.
7. Verify that the final evidence SHA-256 is:
   * `ce6e81bb3e32282da30cb2aa89b792e486a6ed894963d7b35d90acbb9a62bbed`
8. Verify the two KMS identifiers and scheduled deletion timestamps.
9. Reconcile conflicting timestamps, paths, hashes, plan identities or result classifications.
10. Confirm no document would overstate:
    * current full-suite validation;
    * actual cost;
    * physical KMS deletion;
    * Git review or commit;
    * production readiness;
    * W6-12 execution.
If evidence is missing, unreadable, changed, conflicting or outside the approved boundary:
* edit nothing;
* report the exact blocker;
* do not infer a replacement fact;
* do not partially write the documentation set.
## 14. Writing rules
Write business-first documentation explaining:
* what business risk each lifecycle control addresses;
* what was actually implemented;
* what the owner actually executed;
* what evidence proves;
* what remains unproven;
* how rollback differs from teardown;
* why native orphan verification follows Terraform destroy;
* why bootstrap destruction occurs last;
* why KMS `PendingDeletion` remains an expected time-bound tail;
* why successful sandbox teardown does not establish production readiness.
Preserve these statuses exactly:
* `PASS`
* `FAIL`
* `NOT RUN`
* `INDETERMINATE`
* `WAIVED/ACCEPTED_RISK — NOT PASS`
* `BLOCKED`
Never convert:
* an isolated retry into a full-suite pass;
* a waiver into a pass;
* advisory cost into actual incurred cost;
* `PendingDeletion` into absence;
* uncommitted code into release-ready code;
* targeted rollback into independent last-known-good rollback assurance;
* W5 lifecycle completion into W6-12 completion;
* infrastructure success into model or production approval.
## 15. Prohibited actions
Do not:
* edit code, tests, configuration, Terraform, OPA or schemas;
* run commands, tests, formatters, scanners or validators;
* contact AWS, billing, Terraform, GitHub or another external service;
* generate, apply, destroy or inspect a new Terraform plan;
* retry any lifecycle operation;
* alter external evidence;
* edit Excel;
* stage, commit, push, reset, restore or clean Git;
* perform KMS follow-up verification;
* perform billing reconciliation;
* run the pending complete Python suite;
* start Column N;
* start another feature;
* add an eighth document.
## 16. Mandatory Column M output
After all seven documents are written, return:
`COLUMN M APPROVED DOCUMENT MANIFEST — W5-004`
The manifest must contain exactly seven rows, one for each CREATE or UPDATE path, with these columns:
1. Exact path.
2. Classification: CREATE or UPDATE.
3. Document purpose.
4. Owner-executed results recorded.
5. Risks and accepted risks.
6. Evidence gaps and limitations.
7. Deployment status.
8. Rollback status.
9. Teardown and residual-resource status.
10. Deferred actions and owner.
11. Fields pending Column N.
12. Exact location of the `Final Owner Approval` section.
13. Column N closure requirement.
The manifest is the complete mandatory Column N scope. No listed document may be omitted, and no unlisted document may be added.
Also return a reconciliation summary containing:
* expected CREATE count: 6;
* actual CREATE count;
* expected UPDATE count: 1;
* actual UPDATE count;
* total manifest documents: 7;
* missing or conflicting documents;
* out-of-scope modifications: expected 0;
* whether every document contains its pending `Final Owner Approval` section;
* whether the current full-suite validation gap remains visible;
* whether cost remains `WAIVED/ACCEPTED_RISK — NOT PASS`;
* whether both KMS tails remain pending future absence verification;
* whether delayed billing reconciliation remains pending;
* whether production eligibility remains blocked;
* whether W6-12 remains `NOT RUN`.
End exactly:
DOCUMENTATION READY FOR OWNER REVIEW — W5-004.</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</si>
  <si>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</si>
  <si>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v1.3.5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</si>
  <si>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</si>
  <si>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</si>
  <si>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</si>
  <si>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</si>
  <si>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</si>
  <si>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v1.3.5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</si>
  <si>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</si>
  <si>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</si>
  <si>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</si>
  <si>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</si>
  <si>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</si>
  <si>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v1.3.5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</si>
  <si>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</si>
  <si>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</si>
  <si>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</si>
  <si>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</si>
  <si>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</si>
  <si>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</si>
  <si>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</si>
  <si>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</si>
  <si>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</si>
  <si>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v1.3.5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</si>
  <si>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</si>
  <si>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</si>
  <si>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</si>
  <si>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</si>
  <si>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</si>
  <si>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</si>
  <si>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</si>
  <si>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v1.3.5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</si>
  <si>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</si>
  <si>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</si>
  <si>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</si>
  <si>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</si>
  <si>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</si>
  <si>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</si>
  <si>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</si>
  <si>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v1.3.5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</si>
  <si>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</si>
  <si>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</si>
  <si>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</si>
  <si>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</si>
  <si>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</si>
  <si>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</si>
  <si>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</si>
  <si>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v1.3.5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</si>
  <si>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</si>
  <si>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</si>
  <si>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</si>
  <si>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</si>
  <si>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</si>
  <si>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</si>
  <si>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</si>
  <si>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v1.3.5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</si>
  <si>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</si>
  <si>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</si>
  <si>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</si>
  <si>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</si>
  <si>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</si>
  <si>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Post-MVP</t>
  </si>
  <si>
    <t>PyTorch Lightning and PEFT/LoRA training lab</t>
  </si>
  <si>
    <t>Learn model development without making it an MVP dependency.</t>
  </si>
  <si>
    <t>Approved model/dataset IDs, license and GPU budget</t>
  </si>
  <si>
    <t xml:space="preserve">FOUR APPROVAL GATES PLUS OWNER TESTING AND WEEKLY LEARNING — TRACKER v1.3.5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</si>
  <si>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</si>
  <si>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</si>
  <si>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</si>
  <si>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</si>
  <si>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</si>
  <si>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</si>
  <si>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</si>
  <si>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</si>
  <si>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v1.3.5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</si>
  <si>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</si>
  <si>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</si>
  <si>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</si>
  <si>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</si>
  <si>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</si>
  <si>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</si>
  <si>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</si>
  <si>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</si>
  <si>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v1.3.5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</si>
  <si>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</si>
  <si>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</si>
  <si>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</si>
  <si>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</si>
  <si>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</si>
  <si>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</si>
  <si>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</si>
  <si>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</si>
  <si>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</si>
  <si>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</si>
  <si>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v1.3.5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</si>
  <si>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Read-only teaching plan → owner teach-back → owner writes the exact weekly evidence note → final teach-back approval → owner tracker update</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</si>
  <si>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</si>
  <si>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</si>
  <si>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</si>
  <si>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</si>
  <si>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</si>
  <si>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</si>
  <si>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</si>
  <si>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</si>
  <si>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</si>
  <si>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</si>
  <si>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</si>
  <si>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</si>
  <si>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</si>
  <si>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</si>
  <si>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</si>
  <si>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</si>
  <si>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</si>
  <si>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</si>
  <si>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</si>
  <si>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</si>
  <si>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</si>
  <si>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</si>
  <si>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</si>
  <si>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</si>
  <si>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</si>
  <si>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</si>
  <si>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</si>
  <si>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</si>
  <si>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</si>
  <si>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</si>
  <si>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</si>
  <si>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</si>
  <si>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</si>
  <si>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</si>
  <si>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</si>
  <si>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</si>
  <si>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</si>
  <si>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</si>
  <si>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</si>
  <si>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</si>
  <si>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</si>
  <si>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</si>
  <si>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</si>
  <si>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</si>
  <si>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</si>
  <si>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</si>
  <si>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</si>
  <si>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</si>
  <si>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</si>
  <si>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</si>
  <si>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</si>
  <si>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</si>
  <si>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</si>
  <si>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</si>
  <si>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</si>
  <si>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</si>
  <si>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</si>
  <si>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</si>
  <si>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</si>
  <si>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</si>
  <si>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</si>
  <si>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</si>
  <si>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</si>
  <si>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</si>
  <si>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</si>
  <si>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</si>
  <si>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</si>
  <si>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</si>
  <si>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</si>
  <si>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</si>
  <si>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</si>
  <si>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</si>
  <si>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</si>
  <si>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</si>
  <si>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</si>
  <si>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</si>
  <si>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</si>
  <si>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</si>
  <si>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</si>
  <si>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</si>
  <si>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</si>
  <si>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</si>
  <si>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</si>
  <si>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</si>
  <si>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</si>
  <si>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</si>
  <si>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</si>
  <si>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</si>
  <si>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</si>
  <si>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</si>
  <si>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</si>
  <si>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</si>
  <si>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</si>
  <si>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</si>
  <si>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</si>
  <si>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</si>
  <si>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</si>
  <si>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</si>
  <si>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</si>
  <si>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</si>
  <si>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</si>
  <si>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</si>
  <si>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</si>
  <si>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</si>
  <si>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</si>
  <si>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</si>
  <si>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</si>
  <si>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</si>
  <si>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</si>
  <si>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</si>
  <si>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Exit 0</t>
  </si>
  <si>
    <t>docs/test-evidence/W5-terraform.txt</t>
  </si>
  <si>
    <t>T-W5-002</t>
  </si>
  <si>
    <t>Policy</t>
  </si>
  <si>
    <t>tflint/Checkov/OPA</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</si>
  <si>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</si>
  <si>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Secure config passes; insecure fixtures fail</t>
  </si>
  <si>
    <t>docs/test-evidence/W5-policy.txt</t>
  </si>
  <si>
    <t>T-W5-003</t>
  </si>
  <si>
    <t>Reviewed sandbox plan</t>
  </si>
  <si>
    <t>Only expected resources; no secret values</t>
  </si>
  <si>
    <t>T-W5-004</t>
  </si>
  <si>
    <t>Trivy, Syft and Grype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</si>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</sst>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7">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right/>
      <top style="thin">
        <color rgb="FFC8D4E3"/>
      </top>
      <bottom/>
      <diagonal/>
    </border>
    <border>
      <left/>
      <right style="thin">
        <color rgb="FFC8D4E3"/>
      </right>
      <top style="thin">
        <color rgb="FFC8D4E3"/>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style="thin">
        <color rgb="FFC8D4E3"/>
      </left>
      <right style="thin">
        <color rgb="FFC8D4E3"/>
      </right>
      <top/>
      <bottom/>
      <diagonal/>
    </border>
    <border>
      <left style="thin">
        <color rgb="FFC8D4E3"/>
      </left>
      <right style="thin">
        <color rgb="FFC8D4E3"/>
      </right>
      <top/>
      <bottom style="thin">
        <color rgb="FFC8D4E3"/>
      </bottom>
      <diagonal/>
    </border>
    <border>
      <left style="thin">
        <color rgb="FFC8D4E3"/>
      </left>
      <right style="thin">
        <color rgb="FFC8D4E3"/>
      </right>
      <top style="thin">
        <color rgb="FFC8D4E3"/>
      </top>
      <bottom/>
      <diagonal/>
    </border>
  </borders>
  <cellStyleXfs count="1">
    <xf numFmtId="0" fontId="0" fillId="0" borderId="0"/>
  </cellStyleXfs>
  <cellXfs count="91">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3" xfId="0" applyFont="1" applyFill="1" applyBorder="1"/>
    <xf numFmtId="0" fontId="7" fillId="7" borderId="13" xfId="0" applyFont="1" applyFill="1" applyBorder="1"/>
    <xf numFmtId="164" fontId="7" fillId="7" borderId="13"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4" xfId="0" applyFont="1" applyBorder="1" applyAlignment="1">
      <alignment vertical="top" wrapText="1"/>
    </xf>
    <xf numFmtId="0" fontId="10" fillId="11" borderId="14" xfId="0" applyFont="1" applyFill="1" applyBorder="1" applyAlignment="1">
      <alignment vertical="top" wrapText="1"/>
    </xf>
    <xf numFmtId="0" fontId="4" fillId="10" borderId="0" xfId="0" applyFont="1" applyFill="1"/>
    <xf numFmtId="14" fontId="10" fillId="11" borderId="14" xfId="0" applyNumberFormat="1" applyFont="1" applyFill="1" applyBorder="1" applyAlignment="1">
      <alignment vertical="top" wrapText="1"/>
    </xf>
    <xf numFmtId="14" fontId="10" fillId="0" borderId="14"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3" xfId="0" applyFont="1" applyFill="1" applyBorder="1" applyAlignment="1">
      <alignment vertical="center" wrapText="1"/>
    </xf>
    <xf numFmtId="0" fontId="4" fillId="13" borderId="0" xfId="0" applyFont="1" applyFill="1" applyAlignment="1">
      <alignment wrapText="1"/>
    </xf>
    <xf numFmtId="0" fontId="14" fillId="13" borderId="14" xfId="0" applyFont="1" applyFill="1" applyBorder="1" applyAlignment="1">
      <alignment vertical="top" wrapText="1"/>
    </xf>
    <xf numFmtId="0" fontId="14" fillId="13" borderId="13" xfId="0" applyFont="1" applyFill="1" applyBorder="1" applyAlignment="1">
      <alignment vertical="top" wrapText="1"/>
    </xf>
    <xf numFmtId="0" fontId="10" fillId="3" borderId="14" xfId="0" applyFont="1" applyFill="1" applyBorder="1" applyAlignment="1">
      <alignment vertical="top" wrapText="1"/>
    </xf>
    <xf numFmtId="0" fontId="7" fillId="0" borderId="14" xfId="0" applyFont="1"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16" borderId="15" xfId="0" applyFill="1" applyBorder="1" applyAlignment="1">
      <alignment vertical="top" wrapText="1"/>
    </xf>
    <xf numFmtId="0" fontId="0" fillId="16" borderId="17" xfId="0" applyFill="1" applyBorder="1" applyAlignment="1">
      <alignment vertical="top" wrapText="1"/>
    </xf>
    <xf numFmtId="0" fontId="0" fillId="16" borderId="18" xfId="0" applyFill="1" applyBorder="1" applyAlignment="1">
      <alignment vertical="top" wrapText="1"/>
    </xf>
    <xf numFmtId="0" fontId="0" fillId="16" borderId="20" xfId="0" applyFill="1" applyBorder="1" applyAlignment="1">
      <alignment vertical="top" wrapText="1"/>
    </xf>
    <xf numFmtId="0" fontId="0" fillId="16" borderId="21" xfId="0" applyFill="1" applyBorder="1" applyAlignment="1">
      <alignment vertical="top" wrapText="1"/>
    </xf>
    <xf numFmtId="0" fontId="0" fillId="16" borderId="23"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3" xfId="0" applyFont="1" applyFill="1" applyBorder="1" applyAlignment="1">
      <alignment vertical="top" wrapText="1"/>
    </xf>
    <xf numFmtId="0" fontId="3" fillId="13" borderId="13" xfId="0" applyFont="1" applyFill="1" applyBorder="1" applyAlignment="1">
      <alignment vertical="top" wrapText="1"/>
    </xf>
    <xf numFmtId="0" fontId="10" fillId="15" borderId="14" xfId="0" applyFont="1" applyFill="1" applyBorder="1" applyAlignment="1">
      <alignment vertical="top" wrapText="1"/>
    </xf>
    <xf numFmtId="0" fontId="4" fillId="13" borderId="0" xfId="0" applyFont="1" applyFill="1" applyAlignment="1">
      <alignment vertical="top" wrapText="1"/>
    </xf>
    <xf numFmtId="0" fontId="1" fillId="2" borderId="0" xfId="0" applyFont="1" applyFill="1" applyAlignment="1">
      <alignment vertical="center"/>
    </xf>
    <xf numFmtId="0" fontId="0" fillId="0" borderId="0" xfId="0"/>
    <xf numFmtId="0" fontId="2" fillId="3" borderId="0" xfId="0" applyFont="1" applyFill="1" applyAlignment="1">
      <alignment vertical="center" wrapText="1"/>
    </xf>
    <xf numFmtId="0" fontId="8" fillId="8" borderId="13" xfId="0" applyFont="1" applyFill="1" applyBorder="1" applyAlignment="1">
      <alignment wrapText="1"/>
    </xf>
    <xf numFmtId="0" fontId="0" fillId="0" borderId="7" xfId="0" applyBorder="1"/>
    <xf numFmtId="0" fontId="0" fillId="0" borderId="8" xfId="0" applyBorder="1"/>
    <xf numFmtId="0" fontId="0" fillId="0" borderId="10" xfId="0" applyBorder="1"/>
    <xf numFmtId="0" fontId="0" fillId="0" borderId="11" xfId="0" applyBorder="1"/>
    <xf numFmtId="0" fontId="0" fillId="0" borderId="12" xfId="0" applyBorder="1"/>
    <xf numFmtId="0" fontId="5" fillId="6" borderId="25" xfId="0" applyFont="1" applyFill="1" applyBorder="1" applyAlignment="1">
      <alignment vertical="center" wrapText="1"/>
    </xf>
    <xf numFmtId="0" fontId="5" fillId="6" borderId="24" xfId="0" applyFont="1" applyFill="1" applyBorder="1" applyAlignment="1">
      <alignment vertical="center" wrapText="1"/>
    </xf>
    <xf numFmtId="0" fontId="0" fillId="0" borderId="9" xfId="0" applyBorder="1"/>
    <xf numFmtId="0" fontId="3" fillId="4" borderId="13" xfId="0" applyFont="1" applyFill="1" applyBorder="1" applyAlignment="1">
      <alignment vertical="center" wrapText="1"/>
    </xf>
    <xf numFmtId="0" fontId="0" fillId="0" borderId="2" xfId="0" applyBorder="1"/>
    <xf numFmtId="0" fontId="0" fillId="0" borderId="3" xfId="0" applyBorder="1"/>
    <xf numFmtId="0" fontId="5" fillId="6" borderId="26" xfId="0" applyFont="1" applyFill="1" applyBorder="1" applyAlignment="1">
      <alignment vertical="center" wrapText="1"/>
    </xf>
    <xf numFmtId="0" fontId="3" fillId="4" borderId="0" xfId="0" applyFont="1" applyFill="1" applyAlignment="1">
      <alignment horizontal="center"/>
    </xf>
    <xf numFmtId="0" fontId="5" fillId="6" borderId="24" xfId="0" applyFont="1" applyFill="1" applyBorder="1" applyAlignment="1">
      <alignment wrapText="1"/>
    </xf>
    <xf numFmtId="0" fontId="9" fillId="6" borderId="13" xfId="0" applyFont="1" applyFill="1" applyBorder="1" applyAlignment="1">
      <alignment horizontal="center" vertical="center"/>
    </xf>
    <xf numFmtId="0" fontId="5" fillId="6" borderId="25" xfId="0" applyFont="1" applyFill="1" applyBorder="1" applyAlignment="1">
      <alignment wrapText="1"/>
    </xf>
    <xf numFmtId="0" fontId="5" fillId="6" borderId="26" xfId="0" applyFont="1" applyFill="1" applyBorder="1" applyAlignment="1">
      <alignment wrapText="1"/>
    </xf>
    <xf numFmtId="9" fontId="9" fillId="6" borderId="13" xfId="0" applyNumberFormat="1" applyFont="1" applyFill="1" applyBorder="1" applyAlignment="1">
      <alignment horizontal="center" vertical="center"/>
    </xf>
    <xf numFmtId="0" fontId="13" fillId="9" borderId="13" xfId="0" applyFont="1" applyFill="1" applyBorder="1" applyAlignment="1">
      <alignment vertical="center" wrapText="1"/>
    </xf>
    <xf numFmtId="0" fontId="4" fillId="10" borderId="0" xfId="0" applyFont="1" applyFill="1"/>
    <xf numFmtId="9" fontId="11" fillId="6" borderId="13" xfId="0" applyNumberFormat="1" applyFont="1" applyFill="1" applyBorder="1" applyAlignment="1">
      <alignment horizontal="center" vertical="center"/>
    </xf>
    <xf numFmtId="0" fontId="12" fillId="6" borderId="13" xfId="0" applyFont="1" applyFill="1" applyBorder="1" applyAlignment="1">
      <alignment horizontal="center" vertical="center"/>
    </xf>
    <xf numFmtId="0" fontId="3" fillId="12" borderId="13" xfId="0" applyFont="1" applyFill="1" applyBorder="1" applyAlignment="1">
      <alignment vertical="center" wrapText="1"/>
    </xf>
    <xf numFmtId="0" fontId="13" fillId="9" borderId="13" xfId="0" applyFont="1" applyFill="1" applyBorder="1" applyAlignment="1">
      <alignment wrapText="1"/>
    </xf>
    <xf numFmtId="0" fontId="1" fillId="10" borderId="0" xfId="0" applyFont="1" applyFill="1" applyAlignment="1">
      <alignment vertical="top"/>
    </xf>
    <xf numFmtId="0" fontId="0" fillId="0" borderId="0" xfId="0" applyAlignment="1">
      <alignment vertical="top"/>
    </xf>
    <xf numFmtId="0" fontId="2" fillId="11" borderId="0" xfId="0" applyFont="1" applyFill="1" applyAlignment="1">
      <alignment vertical="top" wrapText="1"/>
    </xf>
    <xf numFmtId="0" fontId="4" fillId="13" borderId="0" xfId="0" applyFont="1" applyFill="1" applyAlignment="1">
      <alignment wrapText="1"/>
    </xf>
    <xf numFmtId="0" fontId="7" fillId="15" borderId="0" xfId="0" applyFont="1" applyFill="1" applyAlignment="1">
      <alignment wrapText="1"/>
    </xf>
    <xf numFmtId="0" fontId="4" fillId="14" borderId="0" xfId="0" applyFont="1" applyFill="1" applyAlignment="1">
      <alignment horizontal="left" vertical="center"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spPr>
            <a:ln>
              <a:prstDash val="solid"/>
            </a:ln>
          </c:spPr>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1</c:v>
                </c:pt>
                <c:pt idx="3">
                  <c:v>1</c:v>
                </c:pt>
                <c:pt idx="4">
                  <c:v>1</c:v>
                </c:pt>
                <c:pt idx="5">
                  <c:v>0</c:v>
                </c:pt>
              </c:numCache>
            </c:numRef>
          </c:val>
          <c:extLst>
            <c:ext xmlns:c16="http://schemas.microsoft.com/office/drawing/2014/chart" uri="{C3380CC4-5D6E-409C-BE32-E72D297353CC}">
              <c16:uniqueId val="{00000000-65AE-4976-BC08-34E6AEBFCA4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5"/>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 val="Week 4"/>
        <filter val="Week 5"/>
      </filters>
    </filterColumn>
    <filterColumn colId="5">
      <filters>
        <filter val="In Progress"/>
        <filter val="Not Started"/>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ustomHeight="1">
      <c r="A1" s="57" t="s">
        <v>970</v>
      </c>
      <c r="B1" s="58"/>
      <c r="C1" s="58"/>
      <c r="D1" s="58"/>
      <c r="E1" s="58"/>
      <c r="F1" s="58"/>
      <c r="G1" s="58"/>
      <c r="H1" s="58"/>
      <c r="I1" s="58"/>
      <c r="J1" s="58"/>
    </row>
    <row r="2" spans="1:10">
      <c r="A2" s="59" t="s">
        <v>971</v>
      </c>
      <c r="B2" s="58"/>
      <c r="C2" s="58"/>
      <c r="D2" s="58"/>
      <c r="E2" s="58"/>
      <c r="F2" s="58"/>
      <c r="G2" s="58"/>
      <c r="H2" s="58"/>
      <c r="I2" s="58"/>
      <c r="J2" s="58"/>
    </row>
    <row r="4" spans="1:10">
      <c r="A4" s="69" t="s">
        <v>972</v>
      </c>
      <c r="B4" s="70"/>
      <c r="C4" s="70"/>
      <c r="D4" s="70"/>
      <c r="E4" s="70"/>
      <c r="F4" s="70"/>
      <c r="G4" s="70"/>
      <c r="H4" s="70"/>
      <c r="I4" s="70"/>
      <c r="J4" s="71"/>
    </row>
    <row r="5" spans="1:10" ht="39.6" customHeight="1">
      <c r="A5" s="21">
        <v>1</v>
      </c>
      <c r="B5" s="4" t="s">
        <v>973</v>
      </c>
      <c r="C5" s="4" t="s">
        <v>974</v>
      </c>
      <c r="E5" s="72" t="s">
        <v>975</v>
      </c>
      <c r="F5" s="61"/>
      <c r="G5" s="61"/>
      <c r="H5" s="61"/>
      <c r="I5" s="61"/>
      <c r="J5" s="62"/>
    </row>
    <row r="6" spans="1:10" ht="39.6" customHeight="1">
      <c r="A6" s="21">
        <v>2</v>
      </c>
      <c r="B6" s="5" t="s">
        <v>976</v>
      </c>
      <c r="C6" s="5" t="s">
        <v>977</v>
      </c>
      <c r="E6" s="67" t="s">
        <v>978</v>
      </c>
      <c r="F6" s="58"/>
      <c r="G6" s="58"/>
      <c r="H6" s="58"/>
      <c r="I6" s="58"/>
      <c r="J6" s="68"/>
    </row>
    <row r="7" spans="1:10" ht="66" customHeight="1">
      <c r="A7" s="21">
        <v>3</v>
      </c>
      <c r="B7" s="5" t="s">
        <v>979</v>
      </c>
      <c r="C7" s="5" t="s">
        <v>980</v>
      </c>
      <c r="E7" s="67" t="s">
        <v>981</v>
      </c>
      <c r="F7" s="58"/>
      <c r="G7" s="58"/>
      <c r="H7" s="58"/>
      <c r="I7" s="58"/>
      <c r="J7" s="68"/>
    </row>
    <row r="8" spans="1:10" ht="79.2" customHeight="1">
      <c r="A8" s="21">
        <v>4</v>
      </c>
      <c r="B8" s="5" t="s">
        <v>982</v>
      </c>
      <c r="C8" s="5" t="s">
        <v>983</v>
      </c>
      <c r="E8" s="67" t="s">
        <v>984</v>
      </c>
      <c r="F8" s="58"/>
      <c r="G8" s="58"/>
      <c r="H8" s="58"/>
      <c r="I8" s="58"/>
      <c r="J8" s="68"/>
    </row>
    <row r="9" spans="1:10" ht="66" customHeight="1">
      <c r="A9" s="21">
        <v>5</v>
      </c>
      <c r="B9" s="5" t="s">
        <v>985</v>
      </c>
      <c r="C9" s="5" t="s">
        <v>986</v>
      </c>
      <c r="E9" s="67" t="s">
        <v>987</v>
      </c>
      <c r="F9" s="58"/>
      <c r="G9" s="58"/>
      <c r="H9" s="58"/>
      <c r="I9" s="58"/>
      <c r="J9" s="68"/>
    </row>
    <row r="10" spans="1:10" ht="79.2" customHeight="1">
      <c r="A10" s="21">
        <v>6</v>
      </c>
      <c r="B10" s="5" t="s">
        <v>988</v>
      </c>
      <c r="C10" s="5" t="s">
        <v>989</v>
      </c>
      <c r="E10" s="67" t="s">
        <v>990</v>
      </c>
      <c r="F10" s="58"/>
      <c r="G10" s="58"/>
      <c r="H10" s="58"/>
      <c r="I10" s="58"/>
      <c r="J10" s="68"/>
    </row>
    <row r="11" spans="1:10" ht="92.4" customHeight="1">
      <c r="A11" s="21">
        <v>7</v>
      </c>
      <c r="B11" s="5" t="s">
        <v>991</v>
      </c>
      <c r="C11" s="5" t="s">
        <v>992</v>
      </c>
      <c r="E11" s="66" t="s">
        <v>993</v>
      </c>
      <c r="F11" s="64"/>
      <c r="G11" s="64"/>
      <c r="H11" s="64"/>
      <c r="I11" s="64"/>
      <c r="J11" s="65"/>
    </row>
    <row r="12" spans="1:10" ht="66" customHeight="1">
      <c r="A12" s="21">
        <v>8</v>
      </c>
      <c r="B12" s="5" t="s">
        <v>994</v>
      </c>
      <c r="C12" s="5" t="s">
        <v>995</v>
      </c>
      <c r="E12" t="s">
        <v>996</v>
      </c>
    </row>
    <row r="13" spans="1:10" ht="66" customHeight="1">
      <c r="A13" s="21">
        <v>9</v>
      </c>
      <c r="B13" s="5" t="s">
        <v>997</v>
      </c>
      <c r="C13" s="5" t="s">
        <v>998</v>
      </c>
      <c r="E13" s="69" t="s">
        <v>999</v>
      </c>
      <c r="F13" s="70"/>
      <c r="G13" s="70"/>
      <c r="H13" s="70"/>
      <c r="I13" s="70"/>
      <c r="J13" s="71"/>
    </row>
    <row r="14" spans="1:10" ht="79.2" customHeight="1">
      <c r="A14" s="21">
        <v>10</v>
      </c>
      <c r="B14" s="6" t="s">
        <v>1000</v>
      </c>
      <c r="C14" s="6" t="s">
        <v>1001</v>
      </c>
      <c r="E14" s="7" t="s">
        <v>1002</v>
      </c>
      <c r="F14" s="9"/>
    </row>
    <row r="15" spans="1:10">
      <c r="E15" s="7" t="s">
        <v>9</v>
      </c>
      <c r="F15" s="8" t="s">
        <v>1003</v>
      </c>
    </row>
    <row r="16" spans="1:10">
      <c r="E16" s="7" t="s">
        <v>1004</v>
      </c>
      <c r="F16" s="8" t="s">
        <v>195</v>
      </c>
    </row>
    <row r="17" spans="1:10">
      <c r="E17" s="7" t="s">
        <v>1005</v>
      </c>
      <c r="F17" s="8" t="s">
        <v>1006</v>
      </c>
    </row>
    <row r="18" spans="1:10">
      <c r="E18" t="s">
        <v>1007</v>
      </c>
      <c r="F18" t="s">
        <v>1008</v>
      </c>
    </row>
    <row r="19" spans="1:10">
      <c r="A19" s="60" t="s">
        <v>1009</v>
      </c>
      <c r="B19" s="61"/>
      <c r="C19" s="61"/>
      <c r="D19" s="61"/>
      <c r="E19" s="61"/>
      <c r="F19" s="61"/>
      <c r="G19" s="61"/>
      <c r="H19" s="61"/>
      <c r="I19" s="61"/>
      <c r="J19" s="62"/>
    </row>
    <row r="20" spans="1:10">
      <c r="A20" s="63"/>
      <c r="B20" s="64"/>
      <c r="C20" s="64"/>
      <c r="D20" s="64"/>
      <c r="E20" s="64"/>
      <c r="F20" s="64"/>
      <c r="G20" s="64"/>
      <c r="H20" s="64"/>
      <c r="I20" s="64"/>
      <c r="J20" s="65"/>
    </row>
  </sheetData>
  <mergeCells count="12">
    <mergeCell ref="A19:J20"/>
    <mergeCell ref="A1:J1"/>
    <mergeCell ref="E11:J11"/>
    <mergeCell ref="E10:J10"/>
    <mergeCell ref="E13:J13"/>
    <mergeCell ref="E5:J5"/>
    <mergeCell ref="E9:J9"/>
    <mergeCell ref="E8:J8"/>
    <mergeCell ref="A4:J4"/>
    <mergeCell ref="A2:J2"/>
    <mergeCell ref="E6:J6"/>
    <mergeCell ref="E7:J7"/>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tabSelected="1" topLeftCell="A4"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7" t="s">
        <v>1010</v>
      </c>
      <c r="B1" s="58"/>
      <c r="C1" s="58"/>
      <c r="D1" s="58"/>
      <c r="E1" s="58"/>
      <c r="F1" s="58"/>
      <c r="G1" s="58"/>
      <c r="H1" s="58"/>
      <c r="I1" s="58"/>
      <c r="J1" s="58"/>
      <c r="K1" s="58"/>
      <c r="L1" s="58"/>
      <c r="M1" s="58"/>
      <c r="N1" s="58"/>
      <c r="O1" s="58"/>
      <c r="P1" s="58"/>
    </row>
    <row r="2" spans="1:16" ht="31.95" customHeight="1">
      <c r="A2" s="59" t="s">
        <v>1011</v>
      </c>
      <c r="B2" s="58"/>
      <c r="C2" s="58"/>
      <c r="D2" s="58"/>
      <c r="E2" s="58"/>
      <c r="F2" s="58"/>
      <c r="G2" s="58"/>
      <c r="H2" s="58"/>
      <c r="I2" s="58"/>
      <c r="J2" s="58"/>
      <c r="K2" s="58"/>
      <c r="L2" s="58"/>
      <c r="M2" s="58"/>
      <c r="N2" s="58"/>
      <c r="O2" s="58"/>
      <c r="P2" s="58"/>
    </row>
    <row r="4" spans="1:16">
      <c r="A4" s="73" t="s">
        <v>1012</v>
      </c>
      <c r="B4" s="58"/>
      <c r="D4" s="73" t="s">
        <v>39</v>
      </c>
      <c r="E4" s="58"/>
      <c r="G4" s="73" t="s">
        <v>1013</v>
      </c>
      <c r="H4" s="58"/>
      <c r="J4" s="73" t="s">
        <v>1014</v>
      </c>
      <c r="K4" s="58"/>
    </row>
    <row r="5" spans="1:16">
      <c r="A5" s="75">
        <f>COUNTA('02 Master Plan'!$A$6:$A$120)</f>
        <v>80</v>
      </c>
      <c r="B5" s="62"/>
      <c r="D5" s="75">
        <f>COUNTIF('02 Master Plan'!$S$6:$S$120,"Done")</f>
        <v>66</v>
      </c>
      <c r="E5" s="62"/>
      <c r="G5" s="78">
        <f>IF(A5=0,0,D5/A5)</f>
        <v>0.82499999999999996</v>
      </c>
      <c r="H5" s="62"/>
      <c r="J5" s="75">
        <f>COUNTIF('02 Master Plan'!$S$6:$S$120,"Blocked")</f>
        <v>0</v>
      </c>
      <c r="K5" s="62"/>
    </row>
    <row r="6" spans="1:16">
      <c r="A6" s="63"/>
      <c r="B6" s="65"/>
      <c r="D6" s="63"/>
      <c r="E6" s="65"/>
      <c r="G6" s="63"/>
      <c r="H6" s="65"/>
      <c r="J6" s="63"/>
      <c r="K6" s="65"/>
    </row>
    <row r="7" spans="1:16">
      <c r="A7" s="73" t="s">
        <v>1015</v>
      </c>
      <c r="B7" s="58"/>
      <c r="D7" s="73" t="s">
        <v>1016</v>
      </c>
      <c r="E7" s="58"/>
      <c r="G7" s="73" t="s">
        <v>1017</v>
      </c>
      <c r="H7" s="58"/>
      <c r="J7" s="73" t="s">
        <v>1018</v>
      </c>
      <c r="K7" s="58"/>
    </row>
    <row r="8" spans="1:16">
      <c r="A8" s="75">
        <f>COUNTIFS('13 Owner TODOs'!$F$6:$F$80,"&lt;&gt;Done",'13 Owner TODOs'!$A$6:$A$80,"&lt;&gt;")</f>
        <v>13</v>
      </c>
      <c r="B8" s="62"/>
      <c r="D8" s="75">
        <f>COUNTIF('11 Test Evidence'!$H$6:$H$80,"Pass")</f>
        <v>6</v>
      </c>
      <c r="E8" s="62"/>
      <c r="G8" s="75">
        <f>COUNTIF('12 Decision Log'!$C$6:$C$60,"Baseline Approved")+COUNTIF('12 Decision Log'!$C$6:$C$60,"Approved")</f>
        <v>18</v>
      </c>
      <c r="H8" s="62"/>
      <c r="J8" s="75">
        <f>COUNTIFS('11 Test Evidence'!$C$6:$C$80,"Teardown",'11 Test Evidence'!$H$6:$H$80,"Pass")</f>
        <v>1</v>
      </c>
      <c r="K8" s="62"/>
    </row>
    <row r="9" spans="1:16">
      <c r="A9" s="63"/>
      <c r="B9" s="65"/>
      <c r="D9" s="63"/>
      <c r="E9" s="65"/>
      <c r="G9" s="63"/>
      <c r="H9" s="65"/>
      <c r="J9" s="63"/>
      <c r="K9" s="65"/>
    </row>
    <row r="12" spans="1:16" ht="28.05" customHeight="1">
      <c r="A12" s="1" t="s">
        <v>3</v>
      </c>
      <c r="B12" s="2" t="s">
        <v>1019</v>
      </c>
      <c r="C12" s="2" t="s">
        <v>39</v>
      </c>
      <c r="D12" s="2" t="s">
        <v>1020</v>
      </c>
      <c r="E12" s="3" t="s">
        <v>1014</v>
      </c>
      <c r="G12" s="1" t="s">
        <v>3</v>
      </c>
      <c r="H12" s="3" t="s">
        <v>1020</v>
      </c>
    </row>
    <row r="13" spans="1:16">
      <c r="A13" s="10" t="s">
        <v>24</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195</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347</v>
      </c>
      <c r="B15" s="11">
        <f>COUNTIF('02 Master Plan'!$B$6:$B$120,A15)</f>
        <v>13</v>
      </c>
      <c r="C15" s="11">
        <f>COUNTIFS('02 Master Plan'!$B$6:$B$120,A15,'02 Master Plan'!$S$6:$S$120,"Done")</f>
        <v>13</v>
      </c>
      <c r="D15" s="13">
        <f t="shared" si="0"/>
        <v>1</v>
      </c>
      <c r="E15" s="11">
        <f>COUNTIFS('02 Master Plan'!$B$6:$B$120,A15,'02 Master Plan'!$S$6:$S$120,"Blocked")</f>
        <v>0</v>
      </c>
      <c r="G15" t="str">
        <f t="shared" si="1"/>
        <v>Week 3</v>
      </c>
      <c r="H15" s="14">
        <f t="shared" si="2"/>
        <v>1</v>
      </c>
    </row>
    <row r="16" spans="1:16">
      <c r="A16" s="11" t="s">
        <v>499</v>
      </c>
      <c r="B16" s="11">
        <f>COUNTIF('02 Master Plan'!$B$6:$B$120,A16)</f>
        <v>13</v>
      </c>
      <c r="C16" s="11">
        <f>COUNTIFS('02 Master Plan'!$B$6:$B$120,A16,'02 Master Plan'!$S$6:$S$120,"Done")</f>
        <v>13</v>
      </c>
      <c r="D16" s="13">
        <f t="shared" si="0"/>
        <v>1</v>
      </c>
      <c r="E16" s="11">
        <f>COUNTIFS('02 Master Plan'!$B$6:$B$120,A16,'02 Master Plan'!$S$6:$S$120,"Blocked")</f>
        <v>0</v>
      </c>
      <c r="G16" t="str">
        <f t="shared" si="1"/>
        <v>Week 4</v>
      </c>
      <c r="H16" s="14">
        <f t="shared" si="2"/>
        <v>1</v>
      </c>
    </row>
    <row r="17" spans="1:8">
      <c r="A17" s="11" t="s">
        <v>645</v>
      </c>
      <c r="B17" s="11">
        <f>COUNTIF('02 Master Plan'!$B$6:$B$120,A17)</f>
        <v>14</v>
      </c>
      <c r="C17" s="11">
        <f>COUNTIFS('02 Master Plan'!$B$6:$B$120,A17,'02 Master Plan'!$S$6:$S$120,"Done")</f>
        <v>14</v>
      </c>
      <c r="D17" s="13">
        <f t="shared" si="0"/>
        <v>1</v>
      </c>
      <c r="E17" s="11">
        <f>COUNTIFS('02 Master Plan'!$B$6:$B$120,A17,'02 Master Plan'!$S$6:$S$120,"Blocked")</f>
        <v>0</v>
      </c>
      <c r="G17" t="str">
        <f t="shared" si="1"/>
        <v>Week 5</v>
      </c>
      <c r="H17" s="14">
        <f t="shared" si="2"/>
        <v>1</v>
      </c>
    </row>
    <row r="18" spans="1:8">
      <c r="A18" s="11" t="s">
        <v>812</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69" t="s">
        <v>1021</v>
      </c>
      <c r="B21" s="70"/>
      <c r="C21" s="70"/>
      <c r="D21" s="70"/>
      <c r="E21" s="70"/>
      <c r="F21" s="70"/>
      <c r="G21" s="70"/>
      <c r="H21" s="71"/>
    </row>
    <row r="22" spans="1:8" ht="30" customHeight="1">
      <c r="A22" s="77" t="s">
        <v>1022</v>
      </c>
      <c r="B22" s="61"/>
      <c r="C22" s="61"/>
      <c r="D22" s="61"/>
      <c r="E22" s="61"/>
      <c r="F22" s="61"/>
      <c r="G22" s="61"/>
      <c r="H22" s="62"/>
    </row>
    <row r="23" spans="1:8" ht="30" customHeight="1">
      <c r="A23" s="74" t="s">
        <v>1023</v>
      </c>
      <c r="B23" s="58"/>
      <c r="C23" s="58"/>
      <c r="D23" s="58"/>
      <c r="E23" s="58"/>
      <c r="F23" s="58"/>
      <c r="G23" s="58"/>
      <c r="H23" s="68"/>
    </row>
    <row r="24" spans="1:8" ht="30" customHeight="1">
      <c r="A24" s="74" t="s">
        <v>1024</v>
      </c>
      <c r="B24" s="58"/>
      <c r="C24" s="58"/>
      <c r="D24" s="58"/>
      <c r="E24" s="58"/>
      <c r="F24" s="58"/>
      <c r="G24" s="58"/>
      <c r="H24" s="68"/>
    </row>
    <row r="25" spans="1:8" ht="30" customHeight="1">
      <c r="A25" s="74" t="s">
        <v>1025</v>
      </c>
      <c r="B25" s="58"/>
      <c r="C25" s="58"/>
      <c r="D25" s="58"/>
      <c r="E25" s="58"/>
      <c r="F25" s="58"/>
      <c r="G25" s="58"/>
      <c r="H25" s="68"/>
    </row>
    <row r="26" spans="1:8" ht="30" customHeight="1">
      <c r="A26" s="76" t="s">
        <v>1026</v>
      </c>
      <c r="B26" s="64"/>
      <c r="C26" s="64"/>
      <c r="D26" s="64"/>
      <c r="E26" s="64"/>
      <c r="F26" s="64"/>
      <c r="G26" s="64"/>
      <c r="H26" s="65"/>
    </row>
  </sheetData>
  <mergeCells count="24">
    <mergeCell ref="A25:H25"/>
    <mergeCell ref="D5:E6"/>
    <mergeCell ref="J5:K6"/>
    <mergeCell ref="J8:K9"/>
    <mergeCell ref="A26:H26"/>
    <mergeCell ref="A21:H21"/>
    <mergeCell ref="A23:H23"/>
    <mergeCell ref="G8:H9"/>
    <mergeCell ref="A22:H22"/>
    <mergeCell ref="A24:H24"/>
    <mergeCell ref="A5:B6"/>
    <mergeCell ref="G5:H6"/>
    <mergeCell ref="A8:B9"/>
    <mergeCell ref="D8:E9"/>
    <mergeCell ref="A7:B7"/>
    <mergeCell ref="G7:H7"/>
    <mergeCell ref="J4:K4"/>
    <mergeCell ref="D7:E7"/>
    <mergeCell ref="A1:P1"/>
    <mergeCell ref="J7:K7"/>
    <mergeCell ref="D4:E4"/>
    <mergeCell ref="A4:B4"/>
    <mergeCell ref="G4:H4"/>
    <mergeCell ref="A2:P2"/>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cfRule>
    <cfRule type="dataBar" priority="7">
      <dataBar>
        <cfvo type="min"/>
        <cfvo type="max"/>
        <color rgb="FF0F766E"/>
      </dataBar>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N69" workbookViewId="0">
      <selection activeCell="S71" sqref="S71"/>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57" t="s">
        <v>0</v>
      </c>
      <c r="B1" s="58"/>
      <c r="C1" s="58"/>
      <c r="D1" s="58"/>
      <c r="E1" s="58"/>
      <c r="F1" s="58"/>
      <c r="G1" s="58"/>
      <c r="H1" s="58"/>
      <c r="I1" s="58"/>
      <c r="J1" s="58"/>
      <c r="K1" s="58"/>
      <c r="L1" s="58"/>
      <c r="M1" s="58"/>
      <c r="N1" s="58"/>
      <c r="O1" s="58"/>
      <c r="P1" s="58"/>
      <c r="Q1" s="58"/>
      <c r="R1" s="58"/>
      <c r="S1" s="58"/>
      <c r="T1" s="58"/>
    </row>
    <row r="2" spans="1:21" ht="31.95" customHeight="1">
      <c r="A2" s="59" t="s">
        <v>1</v>
      </c>
      <c r="B2" s="58"/>
      <c r="C2" s="58"/>
      <c r="D2" s="58"/>
      <c r="E2" s="58"/>
      <c r="F2" s="58"/>
      <c r="G2" s="58"/>
      <c r="H2" s="58"/>
      <c r="I2" s="58"/>
      <c r="J2" s="58"/>
      <c r="K2" s="58"/>
      <c r="L2" s="58"/>
      <c r="M2" s="58"/>
      <c r="N2" s="58"/>
      <c r="O2" s="58"/>
      <c r="P2" s="58"/>
      <c r="Q2" s="58"/>
      <c r="R2" s="58"/>
      <c r="S2" s="58"/>
      <c r="T2" s="58"/>
    </row>
    <row r="5" spans="1:21" ht="28.05" customHeight="1">
      <c r="A5" s="1" t="s">
        <v>2</v>
      </c>
      <c r="B5" s="2" t="s">
        <v>3</v>
      </c>
      <c r="C5" s="2" t="s">
        <v>4</v>
      </c>
      <c r="D5" s="2" t="s">
        <v>5</v>
      </c>
      <c r="E5" s="2" t="s">
        <v>6</v>
      </c>
      <c r="F5" s="2" t="s">
        <v>7</v>
      </c>
      <c r="G5" s="2" t="s">
        <v>8</v>
      </c>
      <c r="H5" s="2" t="s">
        <v>9</v>
      </c>
      <c r="I5" s="2" t="s">
        <v>10</v>
      </c>
      <c r="J5" s="2" t="s">
        <v>11</v>
      </c>
      <c r="K5" s="2" t="s">
        <v>12</v>
      </c>
      <c r="L5" s="2" t="s">
        <v>13</v>
      </c>
      <c r="M5" s="2" t="s">
        <v>14</v>
      </c>
      <c r="N5" s="2" t="s">
        <v>15</v>
      </c>
      <c r="O5" s="2" t="s">
        <v>16</v>
      </c>
      <c r="P5" s="2" t="s">
        <v>17</v>
      </c>
      <c r="Q5" s="2" t="s">
        <v>18</v>
      </c>
      <c r="R5" s="2" t="s">
        <v>19</v>
      </c>
      <c r="S5" s="2" t="s">
        <v>20</v>
      </c>
      <c r="T5" s="3" t="s">
        <v>21</v>
      </c>
      <c r="U5" s="28" t="s">
        <v>22</v>
      </c>
    </row>
    <row r="6" spans="1:21" ht="96.6" hidden="1" customHeight="1">
      <c r="A6" s="10" t="s">
        <v>23</v>
      </c>
      <c r="B6" s="10" t="s">
        <v>24</v>
      </c>
      <c r="C6" s="10">
        <v>1</v>
      </c>
      <c r="D6" s="10" t="s">
        <v>25</v>
      </c>
      <c r="E6" s="10" t="s">
        <v>26</v>
      </c>
      <c r="F6" s="10" t="s">
        <v>27</v>
      </c>
      <c r="G6" s="10" t="s">
        <v>28</v>
      </c>
      <c r="H6" s="10" t="s">
        <v>29</v>
      </c>
      <c r="I6" s="15">
        <v>1</v>
      </c>
      <c r="J6" s="10" t="s">
        <v>30</v>
      </c>
      <c r="K6" s="10" t="s">
        <v>31</v>
      </c>
      <c r="L6" s="10" t="s">
        <v>32</v>
      </c>
      <c r="M6" s="10" t="s">
        <v>33</v>
      </c>
      <c r="N6" s="10" t="s">
        <v>34</v>
      </c>
      <c r="O6" s="10" t="s">
        <v>35</v>
      </c>
      <c r="P6" s="10" t="s">
        <v>36</v>
      </c>
      <c r="Q6" s="10" t="s">
        <v>37</v>
      </c>
      <c r="R6" s="10" t="s">
        <v>38</v>
      </c>
      <c r="S6" s="10" t="s">
        <v>39</v>
      </c>
      <c r="T6" s="10" t="s">
        <v>40</v>
      </c>
      <c r="U6" s="28" t="s">
        <v>41</v>
      </c>
    </row>
    <row r="7" spans="1:21" ht="96.6" hidden="1" customHeight="1">
      <c r="A7" s="11" t="s">
        <v>42</v>
      </c>
      <c r="B7" s="11" t="s">
        <v>24</v>
      </c>
      <c r="C7" s="11">
        <v>2</v>
      </c>
      <c r="D7" s="11" t="s">
        <v>25</v>
      </c>
      <c r="E7" s="11" t="s">
        <v>43</v>
      </c>
      <c r="F7" s="11" t="s">
        <v>44</v>
      </c>
      <c r="G7" s="11" t="s">
        <v>45</v>
      </c>
      <c r="H7" s="11" t="s">
        <v>46</v>
      </c>
      <c r="I7" s="16">
        <v>0.5</v>
      </c>
      <c r="J7" s="11" t="s">
        <v>47</v>
      </c>
      <c r="K7" s="11" t="s">
        <v>37</v>
      </c>
      <c r="L7" s="11" t="s">
        <v>48</v>
      </c>
      <c r="M7" s="11" t="s">
        <v>49</v>
      </c>
      <c r="N7" s="11" t="s">
        <v>50</v>
      </c>
      <c r="O7" s="11" t="s">
        <v>51</v>
      </c>
      <c r="P7" s="11" t="s">
        <v>52</v>
      </c>
      <c r="Q7" s="11" t="s">
        <v>23</v>
      </c>
      <c r="R7" s="11" t="s">
        <v>53</v>
      </c>
      <c r="S7" s="11" t="s">
        <v>39</v>
      </c>
      <c r="T7" s="11" t="s">
        <v>54</v>
      </c>
      <c r="U7" s="28" t="s">
        <v>55</v>
      </c>
    </row>
    <row r="8" spans="1:21" ht="110.4" hidden="1" customHeight="1">
      <c r="A8" s="11" t="s">
        <v>56</v>
      </c>
      <c r="B8" s="11" t="s">
        <v>24</v>
      </c>
      <c r="C8" s="11">
        <v>3</v>
      </c>
      <c r="D8" s="11" t="s">
        <v>25</v>
      </c>
      <c r="E8" s="11" t="s">
        <v>57</v>
      </c>
      <c r="F8" s="11" t="s">
        <v>58</v>
      </c>
      <c r="G8" s="11" t="s">
        <v>59</v>
      </c>
      <c r="H8" s="11" t="s">
        <v>60</v>
      </c>
      <c r="I8" s="16">
        <v>1.5</v>
      </c>
      <c r="J8" s="11" t="s">
        <v>61</v>
      </c>
      <c r="K8" s="11" t="s">
        <v>62</v>
      </c>
      <c r="L8" s="11" t="s">
        <v>63</v>
      </c>
      <c r="M8" s="11" t="s">
        <v>64</v>
      </c>
      <c r="N8" s="11" t="s">
        <v>65</v>
      </c>
      <c r="O8" s="11" t="s">
        <v>66</v>
      </c>
      <c r="P8" s="11" t="s">
        <v>52</v>
      </c>
      <c r="Q8" s="11" t="s">
        <v>42</v>
      </c>
      <c r="R8" s="11" t="s">
        <v>67</v>
      </c>
      <c r="S8" s="11" t="s">
        <v>39</v>
      </c>
      <c r="T8" s="11" t="s">
        <v>68</v>
      </c>
      <c r="U8" s="28" t="s">
        <v>69</v>
      </c>
    </row>
    <row r="9" spans="1:21" ht="110.4" hidden="1" customHeight="1">
      <c r="A9" s="11" t="s">
        <v>70</v>
      </c>
      <c r="B9" s="11" t="s">
        <v>24</v>
      </c>
      <c r="C9" s="11">
        <v>4</v>
      </c>
      <c r="D9" s="11" t="s">
        <v>25</v>
      </c>
      <c r="E9" s="11" t="s">
        <v>71</v>
      </c>
      <c r="F9" s="11" t="s">
        <v>72</v>
      </c>
      <c r="G9" s="11" t="s">
        <v>73</v>
      </c>
      <c r="H9" s="11" t="s">
        <v>60</v>
      </c>
      <c r="I9" s="16">
        <v>1</v>
      </c>
      <c r="J9" s="11" t="s">
        <v>61</v>
      </c>
      <c r="K9" s="11" t="s">
        <v>74</v>
      </c>
      <c r="L9" s="11" t="s">
        <v>75</v>
      </c>
      <c r="M9" s="11" t="s">
        <v>76</v>
      </c>
      <c r="N9" s="11" t="s">
        <v>77</v>
      </c>
      <c r="O9" s="11" t="s">
        <v>78</v>
      </c>
      <c r="P9" s="11" t="s">
        <v>52</v>
      </c>
      <c r="Q9" s="11" t="s">
        <v>56</v>
      </c>
      <c r="R9" s="11" t="s">
        <v>79</v>
      </c>
      <c r="S9" s="11" t="s">
        <v>39</v>
      </c>
      <c r="T9" s="11" t="s">
        <v>68</v>
      </c>
      <c r="U9" s="28" t="s">
        <v>80</v>
      </c>
    </row>
    <row r="10" spans="1:21" ht="193.8" hidden="1" customHeight="1">
      <c r="A10" s="11" t="s">
        <v>81</v>
      </c>
      <c r="B10" s="11" t="s">
        <v>24</v>
      </c>
      <c r="C10" s="11">
        <v>5</v>
      </c>
      <c r="D10" s="11" t="s">
        <v>25</v>
      </c>
      <c r="E10" s="11" t="s">
        <v>82</v>
      </c>
      <c r="F10" s="11" t="s">
        <v>83</v>
      </c>
      <c r="G10" s="11" t="s">
        <v>84</v>
      </c>
      <c r="H10" s="11" t="s">
        <v>60</v>
      </c>
      <c r="I10" s="16">
        <v>1.5</v>
      </c>
      <c r="J10" s="11" t="s">
        <v>85</v>
      </c>
      <c r="K10" s="11" t="s">
        <v>86</v>
      </c>
      <c r="L10" s="11" t="s">
        <v>87</v>
      </c>
      <c r="M10" s="11" t="s">
        <v>88</v>
      </c>
      <c r="N10" s="11" t="s">
        <v>89</v>
      </c>
      <c r="O10" s="11" t="s">
        <v>90</v>
      </c>
      <c r="P10" s="11" t="s">
        <v>91</v>
      </c>
      <c r="Q10" s="11" t="s">
        <v>56</v>
      </c>
      <c r="R10" s="11" t="s">
        <v>92</v>
      </c>
      <c r="S10" s="11" t="s">
        <v>39</v>
      </c>
      <c r="T10" s="11" t="s">
        <v>68</v>
      </c>
      <c r="U10" s="28" t="s">
        <v>93</v>
      </c>
    </row>
    <row r="11" spans="1:21" ht="96.6" hidden="1" customHeight="1">
      <c r="A11" s="11" t="s">
        <v>94</v>
      </c>
      <c r="B11" s="11" t="s">
        <v>24</v>
      </c>
      <c r="C11" s="11">
        <v>6</v>
      </c>
      <c r="D11" s="11" t="s">
        <v>25</v>
      </c>
      <c r="E11" s="11" t="s">
        <v>95</v>
      </c>
      <c r="F11" s="11" t="s">
        <v>96</v>
      </c>
      <c r="G11" s="11" t="s">
        <v>97</v>
      </c>
      <c r="H11" s="11" t="s">
        <v>60</v>
      </c>
      <c r="I11" s="16">
        <v>1.25</v>
      </c>
      <c r="J11" s="11" t="s">
        <v>98</v>
      </c>
      <c r="K11" s="11" t="s">
        <v>37</v>
      </c>
      <c r="L11" s="11" t="s">
        <v>99</v>
      </c>
      <c r="M11" s="11" t="s">
        <v>100</v>
      </c>
      <c r="N11" s="11" t="s">
        <v>101</v>
      </c>
      <c r="O11" s="11" t="s">
        <v>102</v>
      </c>
      <c r="P11" s="11" t="s">
        <v>103</v>
      </c>
      <c r="Q11" s="11" t="s">
        <v>104</v>
      </c>
      <c r="R11" s="11" t="s">
        <v>105</v>
      </c>
      <c r="S11" s="11" t="s">
        <v>39</v>
      </c>
      <c r="T11" s="11" t="s">
        <v>68</v>
      </c>
      <c r="U11" s="28" t="s">
        <v>106</v>
      </c>
    </row>
    <row r="12" spans="1:21" ht="193.8" hidden="1" customHeight="1">
      <c r="A12" s="11" t="s">
        <v>107</v>
      </c>
      <c r="B12" s="11" t="s">
        <v>24</v>
      </c>
      <c r="C12" s="11">
        <v>7</v>
      </c>
      <c r="D12" s="11" t="s">
        <v>25</v>
      </c>
      <c r="E12" s="11" t="s">
        <v>108</v>
      </c>
      <c r="F12" s="11" t="s">
        <v>109</v>
      </c>
      <c r="G12" s="11" t="s">
        <v>110</v>
      </c>
      <c r="H12" s="11" t="s">
        <v>60</v>
      </c>
      <c r="I12" s="16">
        <v>1</v>
      </c>
      <c r="J12" s="11" t="s">
        <v>61</v>
      </c>
      <c r="K12" s="11" t="s">
        <v>37</v>
      </c>
      <c r="L12" s="11" t="s">
        <v>111</v>
      </c>
      <c r="M12" s="11" t="s">
        <v>112</v>
      </c>
      <c r="N12" s="11" t="s">
        <v>113</v>
      </c>
      <c r="O12" s="11" t="s">
        <v>114</v>
      </c>
      <c r="P12" s="11" t="s">
        <v>115</v>
      </c>
      <c r="Q12" s="11" t="s">
        <v>56</v>
      </c>
      <c r="R12" s="11" t="s">
        <v>116</v>
      </c>
      <c r="S12" s="11" t="s">
        <v>39</v>
      </c>
      <c r="T12" s="11" t="s">
        <v>68</v>
      </c>
      <c r="U12" s="28" t="s">
        <v>117</v>
      </c>
    </row>
    <row r="13" spans="1:21" ht="110.4" hidden="1" customHeight="1">
      <c r="A13" s="11" t="s">
        <v>118</v>
      </c>
      <c r="B13" s="11" t="s">
        <v>24</v>
      </c>
      <c r="C13" s="11">
        <v>8</v>
      </c>
      <c r="D13" s="11" t="s">
        <v>25</v>
      </c>
      <c r="E13" s="11" t="s">
        <v>119</v>
      </c>
      <c r="F13" s="11" t="s">
        <v>120</v>
      </c>
      <c r="G13" s="11" t="s">
        <v>121</v>
      </c>
      <c r="H13" s="11" t="s">
        <v>60</v>
      </c>
      <c r="I13" s="16">
        <v>1</v>
      </c>
      <c r="J13" s="11" t="s">
        <v>98</v>
      </c>
      <c r="K13" s="11" t="s">
        <v>122</v>
      </c>
      <c r="L13" s="11" t="s">
        <v>123</v>
      </c>
      <c r="M13" s="11" t="s">
        <v>124</v>
      </c>
      <c r="N13" s="11" t="s">
        <v>125</v>
      </c>
      <c r="O13" s="11" t="s">
        <v>126</v>
      </c>
      <c r="P13" s="11" t="s">
        <v>103</v>
      </c>
      <c r="Q13" s="11" t="s">
        <v>81</v>
      </c>
      <c r="R13" s="11" t="s">
        <v>127</v>
      </c>
      <c r="S13" s="11" t="s">
        <v>39</v>
      </c>
      <c r="T13" s="11" t="s">
        <v>68</v>
      </c>
      <c r="U13" s="28" t="s">
        <v>128</v>
      </c>
    </row>
    <row r="14" spans="1:21" ht="193.8" hidden="1" customHeight="1">
      <c r="A14" s="11" t="s">
        <v>129</v>
      </c>
      <c r="B14" s="11" t="s">
        <v>24</v>
      </c>
      <c r="C14" s="11">
        <v>9</v>
      </c>
      <c r="D14" s="11" t="s">
        <v>25</v>
      </c>
      <c r="E14" s="11" t="s">
        <v>130</v>
      </c>
      <c r="F14" s="11" t="s">
        <v>131</v>
      </c>
      <c r="G14" s="11" t="s">
        <v>132</v>
      </c>
      <c r="H14" s="11" t="s">
        <v>60</v>
      </c>
      <c r="I14" s="16">
        <v>1.25</v>
      </c>
      <c r="J14" s="11" t="s">
        <v>133</v>
      </c>
      <c r="K14" s="11" t="s">
        <v>134</v>
      </c>
      <c r="L14" s="11" t="s">
        <v>135</v>
      </c>
      <c r="M14" s="11" t="s">
        <v>136</v>
      </c>
      <c r="N14" s="11" t="s">
        <v>137</v>
      </c>
      <c r="O14" s="11" t="s">
        <v>138</v>
      </c>
      <c r="P14" s="11" t="s">
        <v>139</v>
      </c>
      <c r="Q14" s="11" t="s">
        <v>56</v>
      </c>
      <c r="R14" s="11" t="s">
        <v>140</v>
      </c>
      <c r="S14" s="11" t="s">
        <v>39</v>
      </c>
      <c r="T14" s="11" t="s">
        <v>141</v>
      </c>
      <c r="U14" s="28" t="s">
        <v>142</v>
      </c>
    </row>
    <row r="15" spans="1:21" ht="193.8" hidden="1" customHeight="1">
      <c r="A15" s="11" t="s">
        <v>143</v>
      </c>
      <c r="B15" s="11" t="s">
        <v>24</v>
      </c>
      <c r="C15" s="11">
        <v>10</v>
      </c>
      <c r="D15" s="11" t="s">
        <v>25</v>
      </c>
      <c r="E15" s="11" t="s">
        <v>144</v>
      </c>
      <c r="F15" s="11" t="s">
        <v>145</v>
      </c>
      <c r="G15" s="11" t="s">
        <v>146</v>
      </c>
      <c r="H15" s="11" t="s">
        <v>60</v>
      </c>
      <c r="I15" s="16">
        <v>1.5</v>
      </c>
      <c r="J15" s="11" t="s">
        <v>133</v>
      </c>
      <c r="K15" s="11" t="s">
        <v>147</v>
      </c>
      <c r="L15" s="11" t="s">
        <v>148</v>
      </c>
      <c r="M15" s="11" t="s">
        <v>149</v>
      </c>
      <c r="N15" s="11" t="s">
        <v>150</v>
      </c>
      <c r="O15" s="11" t="s">
        <v>151</v>
      </c>
      <c r="P15" s="11" t="s">
        <v>152</v>
      </c>
      <c r="Q15" s="11" t="s">
        <v>129</v>
      </c>
      <c r="R15" s="11" t="s">
        <v>153</v>
      </c>
      <c r="S15" s="11" t="s">
        <v>39</v>
      </c>
      <c r="T15" s="11" t="s">
        <v>141</v>
      </c>
      <c r="U15" s="28" t="s">
        <v>154</v>
      </c>
    </row>
    <row r="16" spans="1:21" ht="125.4" hidden="1" customHeight="1">
      <c r="A16" s="11" t="s">
        <v>155</v>
      </c>
      <c r="B16" s="11" t="s">
        <v>24</v>
      </c>
      <c r="C16" s="11">
        <v>11</v>
      </c>
      <c r="D16" s="11" t="s">
        <v>25</v>
      </c>
      <c r="E16" s="11" t="s">
        <v>156</v>
      </c>
      <c r="F16" s="11" t="s">
        <v>157</v>
      </c>
      <c r="G16" s="11" t="s">
        <v>158</v>
      </c>
      <c r="H16" s="11" t="s">
        <v>60</v>
      </c>
      <c r="I16" s="16">
        <v>1</v>
      </c>
      <c r="J16" s="11" t="s">
        <v>133</v>
      </c>
      <c r="K16" s="11" t="s">
        <v>159</v>
      </c>
      <c r="L16" s="11" t="s">
        <v>160</v>
      </c>
      <c r="M16" s="11" t="s">
        <v>161</v>
      </c>
      <c r="N16" s="11" t="s">
        <v>162</v>
      </c>
      <c r="O16" s="11" t="s">
        <v>163</v>
      </c>
      <c r="P16" s="11" t="s">
        <v>164</v>
      </c>
      <c r="Q16" s="11" t="s">
        <v>143</v>
      </c>
      <c r="R16" s="11" t="s">
        <v>165</v>
      </c>
      <c r="S16" s="11" t="s">
        <v>39</v>
      </c>
      <c r="T16" s="11" t="s">
        <v>141</v>
      </c>
      <c r="U16" s="28" t="s">
        <v>166</v>
      </c>
    </row>
    <row r="17" spans="1:21" ht="193.8" hidden="1" customHeight="1">
      <c r="A17" s="11" t="s">
        <v>167</v>
      </c>
      <c r="B17" s="11" t="s">
        <v>24</v>
      </c>
      <c r="C17" s="11">
        <v>12</v>
      </c>
      <c r="D17" s="11" t="s">
        <v>25</v>
      </c>
      <c r="E17" s="11" t="s">
        <v>168</v>
      </c>
      <c r="F17" s="11" t="s">
        <v>169</v>
      </c>
      <c r="G17" s="11" t="s">
        <v>170</v>
      </c>
      <c r="H17" s="11" t="s">
        <v>29</v>
      </c>
      <c r="I17" s="16">
        <v>1</v>
      </c>
      <c r="J17" s="11" t="s">
        <v>171</v>
      </c>
      <c r="K17" s="11" t="s">
        <v>172</v>
      </c>
      <c r="L17" s="11" t="s">
        <v>173</v>
      </c>
      <c r="M17" s="11" t="s">
        <v>174</v>
      </c>
      <c r="N17" s="11" t="s">
        <v>175</v>
      </c>
      <c r="O17" s="11" t="s">
        <v>176</v>
      </c>
      <c r="P17" s="11" t="s">
        <v>52</v>
      </c>
      <c r="Q17" s="11" t="s">
        <v>177</v>
      </c>
      <c r="R17" s="11" t="s">
        <v>178</v>
      </c>
      <c r="S17" s="11" t="s">
        <v>39</v>
      </c>
      <c r="T17" s="11" t="s">
        <v>179</v>
      </c>
      <c r="U17" s="28" t="s">
        <v>180</v>
      </c>
    </row>
    <row r="18" spans="1:21" ht="69" hidden="1" customHeight="1">
      <c r="A18" s="11" t="s">
        <v>181</v>
      </c>
      <c r="B18" s="11" t="s">
        <v>24</v>
      </c>
      <c r="C18" s="11">
        <v>13</v>
      </c>
      <c r="D18" s="11" t="s">
        <v>25</v>
      </c>
      <c r="E18" s="11" t="s">
        <v>182</v>
      </c>
      <c r="F18" s="11" t="s">
        <v>183</v>
      </c>
      <c r="G18" s="11" t="s">
        <v>184</v>
      </c>
      <c r="H18" s="11" t="s">
        <v>46</v>
      </c>
      <c r="I18" s="16">
        <v>1</v>
      </c>
      <c r="J18" s="11" t="s">
        <v>185</v>
      </c>
      <c r="K18" s="11" t="s">
        <v>37</v>
      </c>
      <c r="L18" s="11" t="s">
        <v>186</v>
      </c>
      <c r="M18" s="11" t="s">
        <v>187</v>
      </c>
      <c r="N18" s="11" t="s">
        <v>188</v>
      </c>
      <c r="O18" s="11" t="s">
        <v>189</v>
      </c>
      <c r="P18" s="11" t="s">
        <v>190</v>
      </c>
      <c r="Q18" s="11" t="s">
        <v>167</v>
      </c>
      <c r="R18" s="11" t="s">
        <v>191</v>
      </c>
      <c r="S18" s="11" t="s">
        <v>39</v>
      </c>
      <c r="T18" s="11" t="s">
        <v>192</v>
      </c>
      <c r="U18" s="28" t="s">
        <v>193</v>
      </c>
    </row>
    <row r="19" spans="1:21" ht="110.4" hidden="1" customHeight="1">
      <c r="A19" s="11" t="s">
        <v>194</v>
      </c>
      <c r="B19" s="11" t="s">
        <v>195</v>
      </c>
      <c r="C19" s="11">
        <v>1</v>
      </c>
      <c r="D19" s="11" t="s">
        <v>25</v>
      </c>
      <c r="E19" s="11" t="s">
        <v>196</v>
      </c>
      <c r="F19" s="11" t="s">
        <v>197</v>
      </c>
      <c r="G19" s="11" t="s">
        <v>198</v>
      </c>
      <c r="H19" s="11" t="s">
        <v>60</v>
      </c>
      <c r="I19" s="16">
        <v>1</v>
      </c>
      <c r="J19" s="11" t="s">
        <v>199</v>
      </c>
      <c r="K19" s="11" t="s">
        <v>200</v>
      </c>
      <c r="L19" s="11" t="s">
        <v>201</v>
      </c>
      <c r="M19" s="11" t="s">
        <v>202</v>
      </c>
      <c r="N19" s="11" t="s">
        <v>203</v>
      </c>
      <c r="O19" s="11" t="s">
        <v>204</v>
      </c>
      <c r="P19" s="11" t="s">
        <v>91</v>
      </c>
      <c r="Q19" s="11" t="s">
        <v>181</v>
      </c>
      <c r="R19" s="11" t="s">
        <v>205</v>
      </c>
      <c r="S19" s="11" t="s">
        <v>39</v>
      </c>
      <c r="T19" s="11"/>
      <c r="U19" s="28" t="s">
        <v>206</v>
      </c>
    </row>
    <row r="20" spans="1:21" ht="110.4" hidden="1" customHeight="1">
      <c r="A20" s="11" t="s">
        <v>207</v>
      </c>
      <c r="B20" s="11" t="s">
        <v>195</v>
      </c>
      <c r="C20" s="11">
        <v>2</v>
      </c>
      <c r="D20" s="11" t="s">
        <v>25</v>
      </c>
      <c r="E20" s="11" t="s">
        <v>208</v>
      </c>
      <c r="F20" s="11" t="s">
        <v>209</v>
      </c>
      <c r="G20" s="11" t="s">
        <v>210</v>
      </c>
      <c r="H20" s="11" t="s">
        <v>60</v>
      </c>
      <c r="I20" s="16">
        <v>1.25</v>
      </c>
      <c r="J20" s="11" t="s">
        <v>199</v>
      </c>
      <c r="K20" s="11" t="s">
        <v>37</v>
      </c>
      <c r="L20" s="11" t="s">
        <v>211</v>
      </c>
      <c r="M20" s="11" t="s">
        <v>212</v>
      </c>
      <c r="N20" s="11" t="s">
        <v>213</v>
      </c>
      <c r="O20" s="11" t="s">
        <v>214</v>
      </c>
      <c r="P20" s="11" t="s">
        <v>215</v>
      </c>
      <c r="Q20" s="11" t="s">
        <v>194</v>
      </c>
      <c r="R20" s="11" t="s">
        <v>216</v>
      </c>
      <c r="S20" s="11" t="s">
        <v>39</v>
      </c>
      <c r="T20" s="11"/>
      <c r="U20" s="28" t="s">
        <v>217</v>
      </c>
    </row>
    <row r="21" spans="1:21" ht="330.6" hidden="1" customHeight="1">
      <c r="A21" s="11" t="s">
        <v>218</v>
      </c>
      <c r="B21" s="11" t="s">
        <v>195</v>
      </c>
      <c r="C21" s="11">
        <v>3</v>
      </c>
      <c r="D21" s="11" t="s">
        <v>25</v>
      </c>
      <c r="E21" s="11" t="s">
        <v>219</v>
      </c>
      <c r="F21" s="11" t="s">
        <v>220</v>
      </c>
      <c r="G21" s="11" t="s">
        <v>221</v>
      </c>
      <c r="H21" s="11" t="s">
        <v>60</v>
      </c>
      <c r="I21" s="16">
        <v>1</v>
      </c>
      <c r="J21" s="11" t="s">
        <v>199</v>
      </c>
      <c r="K21" s="11" t="s">
        <v>37</v>
      </c>
      <c r="L21" s="11" t="s">
        <v>222</v>
      </c>
      <c r="M21" s="11" t="s">
        <v>223</v>
      </c>
      <c r="N21" s="11" t="s">
        <v>224</v>
      </c>
      <c r="O21" s="11" t="s">
        <v>225</v>
      </c>
      <c r="P21" s="11" t="s">
        <v>226</v>
      </c>
      <c r="Q21" s="11" t="s">
        <v>167</v>
      </c>
      <c r="R21" s="11" t="s">
        <v>227</v>
      </c>
      <c r="S21" s="11" t="s">
        <v>39</v>
      </c>
      <c r="T21" s="11"/>
      <c r="U21" s="28" t="s">
        <v>228</v>
      </c>
    </row>
    <row r="22" spans="1:21" ht="330.6" hidden="1" customHeight="1">
      <c r="A22" s="11" t="s">
        <v>229</v>
      </c>
      <c r="B22" s="11" t="s">
        <v>195</v>
      </c>
      <c r="C22" s="11">
        <v>4</v>
      </c>
      <c r="D22" s="11" t="s">
        <v>25</v>
      </c>
      <c r="E22" s="11" t="s">
        <v>230</v>
      </c>
      <c r="F22" s="11" t="s">
        <v>231</v>
      </c>
      <c r="G22" s="11" t="s">
        <v>232</v>
      </c>
      <c r="H22" s="11" t="s">
        <v>60</v>
      </c>
      <c r="I22" s="16">
        <v>1.5</v>
      </c>
      <c r="J22" s="11" t="s">
        <v>199</v>
      </c>
      <c r="K22" s="11" t="s">
        <v>233</v>
      </c>
      <c r="L22" s="11" t="s">
        <v>234</v>
      </c>
      <c r="M22" s="11" t="s">
        <v>223</v>
      </c>
      <c r="N22" s="11" t="s">
        <v>235</v>
      </c>
      <c r="O22" s="11" t="s">
        <v>236</v>
      </c>
      <c r="P22" s="11" t="s">
        <v>226</v>
      </c>
      <c r="Q22" s="11" t="s">
        <v>237</v>
      </c>
      <c r="R22" s="11" t="s">
        <v>238</v>
      </c>
      <c r="S22" s="11" t="s">
        <v>39</v>
      </c>
      <c r="T22" s="11"/>
      <c r="U22" s="28" t="s">
        <v>239</v>
      </c>
    </row>
    <row r="23" spans="1:21" ht="110.4" hidden="1" customHeight="1">
      <c r="A23" s="11" t="s">
        <v>240</v>
      </c>
      <c r="B23" s="11" t="s">
        <v>195</v>
      </c>
      <c r="C23" s="11">
        <v>5</v>
      </c>
      <c r="D23" s="11" t="s">
        <v>25</v>
      </c>
      <c r="E23" s="11" t="s">
        <v>241</v>
      </c>
      <c r="F23" s="11" t="s">
        <v>242</v>
      </c>
      <c r="G23" s="11" t="s">
        <v>243</v>
      </c>
      <c r="H23" s="11" t="s">
        <v>60</v>
      </c>
      <c r="I23" s="16">
        <v>1.25</v>
      </c>
      <c r="J23" s="11" t="s">
        <v>244</v>
      </c>
      <c r="K23" s="11" t="s">
        <v>245</v>
      </c>
      <c r="L23" s="11" t="s">
        <v>246</v>
      </c>
      <c r="M23" s="11" t="s">
        <v>247</v>
      </c>
      <c r="N23" s="11" t="s">
        <v>248</v>
      </c>
      <c r="O23" s="11" t="s">
        <v>249</v>
      </c>
      <c r="P23" s="11" t="s">
        <v>91</v>
      </c>
      <c r="Q23" s="11" t="s">
        <v>194</v>
      </c>
      <c r="R23" s="11" t="s">
        <v>250</v>
      </c>
      <c r="S23" s="11" t="s">
        <v>39</v>
      </c>
      <c r="T23" s="11"/>
      <c r="U23" s="28" t="s">
        <v>251</v>
      </c>
    </row>
    <row r="24" spans="1:21" ht="110.4" hidden="1" customHeight="1">
      <c r="A24" s="11" t="s">
        <v>252</v>
      </c>
      <c r="B24" s="11" t="s">
        <v>195</v>
      </c>
      <c r="C24" s="11">
        <v>6</v>
      </c>
      <c r="D24" s="11" t="s">
        <v>25</v>
      </c>
      <c r="E24" s="11" t="s">
        <v>253</v>
      </c>
      <c r="F24" s="11" t="s">
        <v>254</v>
      </c>
      <c r="G24" s="11" t="s">
        <v>255</v>
      </c>
      <c r="H24" s="11" t="s">
        <v>60</v>
      </c>
      <c r="I24" s="16">
        <v>1.5</v>
      </c>
      <c r="J24" s="11" t="s">
        <v>256</v>
      </c>
      <c r="K24" s="11" t="s">
        <v>257</v>
      </c>
      <c r="L24" s="11" t="s">
        <v>258</v>
      </c>
      <c r="M24" s="11" t="s">
        <v>259</v>
      </c>
      <c r="N24" s="11" t="s">
        <v>260</v>
      </c>
      <c r="O24" s="11" t="s">
        <v>261</v>
      </c>
      <c r="P24" s="11" t="s">
        <v>103</v>
      </c>
      <c r="Q24" s="11" t="s">
        <v>262</v>
      </c>
      <c r="R24" s="11" t="s">
        <v>263</v>
      </c>
      <c r="S24" s="11" t="s">
        <v>39</v>
      </c>
      <c r="T24" s="11"/>
      <c r="U24" s="28" t="s">
        <v>264</v>
      </c>
    </row>
    <row r="25" spans="1:21" ht="96.6" hidden="1" customHeight="1">
      <c r="A25" s="11" t="s">
        <v>265</v>
      </c>
      <c r="B25" s="11" t="s">
        <v>195</v>
      </c>
      <c r="C25" s="11">
        <v>7</v>
      </c>
      <c r="D25" s="11" t="s">
        <v>25</v>
      </c>
      <c r="E25" s="11" t="s">
        <v>266</v>
      </c>
      <c r="F25" s="11" t="s">
        <v>267</v>
      </c>
      <c r="G25" s="11" t="s">
        <v>268</v>
      </c>
      <c r="H25" s="11" t="s">
        <v>60</v>
      </c>
      <c r="I25" s="16">
        <v>1</v>
      </c>
      <c r="J25" s="11" t="s">
        <v>256</v>
      </c>
      <c r="K25" s="11" t="s">
        <v>269</v>
      </c>
      <c r="L25" s="11" t="s">
        <v>270</v>
      </c>
      <c r="M25" s="11" t="s">
        <v>271</v>
      </c>
      <c r="N25" s="11" t="s">
        <v>272</v>
      </c>
      <c r="O25" s="11" t="s">
        <v>273</v>
      </c>
      <c r="P25" s="11" t="s">
        <v>274</v>
      </c>
      <c r="Q25" s="11" t="s">
        <v>252</v>
      </c>
      <c r="R25" s="11" t="s">
        <v>275</v>
      </c>
      <c r="S25" s="11" t="s">
        <v>39</v>
      </c>
      <c r="T25" s="11"/>
      <c r="U25" s="28" t="s">
        <v>276</v>
      </c>
    </row>
    <row r="26" spans="1:21" ht="110.4" hidden="1" customHeight="1">
      <c r="A26" s="11" t="s">
        <v>277</v>
      </c>
      <c r="B26" s="11" t="s">
        <v>195</v>
      </c>
      <c r="C26" s="11">
        <v>8</v>
      </c>
      <c r="D26" s="11" t="s">
        <v>25</v>
      </c>
      <c r="E26" s="11" t="s">
        <v>278</v>
      </c>
      <c r="F26" s="11" t="s">
        <v>279</v>
      </c>
      <c r="G26" s="11" t="s">
        <v>280</v>
      </c>
      <c r="H26" s="11" t="s">
        <v>60</v>
      </c>
      <c r="I26" s="16">
        <v>1</v>
      </c>
      <c r="J26" s="11" t="s">
        <v>199</v>
      </c>
      <c r="K26" s="11" t="s">
        <v>281</v>
      </c>
      <c r="L26" s="11" t="s">
        <v>282</v>
      </c>
      <c r="M26" s="11" t="s">
        <v>283</v>
      </c>
      <c r="N26" s="11" t="s">
        <v>284</v>
      </c>
      <c r="O26" s="11" t="s">
        <v>285</v>
      </c>
      <c r="P26" s="11" t="s">
        <v>274</v>
      </c>
      <c r="Q26" s="11" t="s">
        <v>229</v>
      </c>
      <c r="R26" s="11" t="s">
        <v>286</v>
      </c>
      <c r="S26" s="11" t="s">
        <v>39</v>
      </c>
      <c r="T26" s="11"/>
      <c r="U26" s="28" t="s">
        <v>287</v>
      </c>
    </row>
    <row r="27" spans="1:21" ht="205.2" hidden="1" customHeight="1">
      <c r="A27" s="11" t="s">
        <v>288</v>
      </c>
      <c r="B27" s="11" t="s">
        <v>195</v>
      </c>
      <c r="C27" s="11">
        <v>9</v>
      </c>
      <c r="D27" s="11" t="s">
        <v>25</v>
      </c>
      <c r="E27" s="11" t="s">
        <v>289</v>
      </c>
      <c r="F27" s="11" t="s">
        <v>290</v>
      </c>
      <c r="G27" s="11" t="s">
        <v>291</v>
      </c>
      <c r="H27" s="11" t="s">
        <v>46</v>
      </c>
      <c r="I27" s="16">
        <v>1</v>
      </c>
      <c r="J27" s="11" t="s">
        <v>292</v>
      </c>
      <c r="K27" s="11" t="s">
        <v>293</v>
      </c>
      <c r="L27" s="11" t="s">
        <v>294</v>
      </c>
      <c r="M27" s="11" t="s">
        <v>295</v>
      </c>
      <c r="N27" s="11" t="s">
        <v>296</v>
      </c>
      <c r="O27" s="11" t="s">
        <v>297</v>
      </c>
      <c r="P27" s="11" t="s">
        <v>298</v>
      </c>
      <c r="Q27" s="11" t="s">
        <v>299</v>
      </c>
      <c r="R27" s="11" t="s">
        <v>300</v>
      </c>
      <c r="S27" s="11" t="s">
        <v>39</v>
      </c>
      <c r="T27" s="11"/>
      <c r="U27" s="28" t="s">
        <v>301</v>
      </c>
    </row>
    <row r="28" spans="1:21" ht="205.2" hidden="1" customHeight="1">
      <c r="A28" s="11" t="s">
        <v>302</v>
      </c>
      <c r="B28" s="11" t="s">
        <v>195</v>
      </c>
      <c r="C28" s="11">
        <v>10</v>
      </c>
      <c r="D28" s="11" t="s">
        <v>25</v>
      </c>
      <c r="E28" s="11" t="s">
        <v>144</v>
      </c>
      <c r="F28" s="11" t="s">
        <v>303</v>
      </c>
      <c r="G28" s="11" t="s">
        <v>304</v>
      </c>
      <c r="H28" s="11" t="s">
        <v>46</v>
      </c>
      <c r="I28" s="16">
        <v>1</v>
      </c>
      <c r="J28" s="11" t="s">
        <v>292</v>
      </c>
      <c r="K28" s="11" t="s">
        <v>305</v>
      </c>
      <c r="L28" s="11" t="s">
        <v>306</v>
      </c>
      <c r="M28" s="11" t="s">
        <v>307</v>
      </c>
      <c r="N28" s="11" t="s">
        <v>308</v>
      </c>
      <c r="O28" s="11" t="s">
        <v>309</v>
      </c>
      <c r="P28" s="11" t="s">
        <v>310</v>
      </c>
      <c r="Q28" s="11" t="s">
        <v>288</v>
      </c>
      <c r="R28" s="11" t="s">
        <v>311</v>
      </c>
      <c r="S28" s="11" t="s">
        <v>39</v>
      </c>
      <c r="T28" s="11"/>
      <c r="U28" s="28" t="s">
        <v>312</v>
      </c>
    </row>
    <row r="29" spans="1:21" ht="110.4" hidden="1" customHeight="1">
      <c r="A29" s="11" t="s">
        <v>313</v>
      </c>
      <c r="B29" s="11" t="s">
        <v>195</v>
      </c>
      <c r="C29" s="11">
        <v>11</v>
      </c>
      <c r="D29" s="11" t="s">
        <v>314</v>
      </c>
      <c r="E29" s="11" t="s">
        <v>315</v>
      </c>
      <c r="F29" s="11" t="s">
        <v>316</v>
      </c>
      <c r="G29" s="11" t="s">
        <v>317</v>
      </c>
      <c r="H29" s="11" t="s">
        <v>29</v>
      </c>
      <c r="I29" s="16">
        <v>0.75</v>
      </c>
      <c r="J29" s="11" t="s">
        <v>318</v>
      </c>
      <c r="K29" s="11" t="s">
        <v>37</v>
      </c>
      <c r="L29" s="11" t="s">
        <v>319</v>
      </c>
      <c r="M29" s="11" t="s">
        <v>320</v>
      </c>
      <c r="N29" s="11" t="s">
        <v>321</v>
      </c>
      <c r="O29" s="11" t="s">
        <v>322</v>
      </c>
      <c r="P29" s="11" t="s">
        <v>323</v>
      </c>
      <c r="Q29" s="11" t="s">
        <v>288</v>
      </c>
      <c r="R29" s="11" t="s">
        <v>324</v>
      </c>
      <c r="S29" s="11" t="s">
        <v>39</v>
      </c>
      <c r="T29" s="11"/>
      <c r="U29" s="28" t="s">
        <v>325</v>
      </c>
    </row>
    <row r="30" spans="1:21" ht="193.8" hidden="1" customHeight="1">
      <c r="A30" s="11" t="s">
        <v>326</v>
      </c>
      <c r="B30" s="11" t="s">
        <v>195</v>
      </c>
      <c r="C30" s="11">
        <v>12</v>
      </c>
      <c r="D30" s="11" t="s">
        <v>25</v>
      </c>
      <c r="E30" s="11" t="s">
        <v>168</v>
      </c>
      <c r="F30" s="11" t="s">
        <v>327</v>
      </c>
      <c r="G30" s="11" t="s">
        <v>328</v>
      </c>
      <c r="H30" s="11" t="s">
        <v>29</v>
      </c>
      <c r="I30" s="16">
        <v>0.75</v>
      </c>
      <c r="J30" s="11" t="s">
        <v>329</v>
      </c>
      <c r="K30" s="11" t="s">
        <v>330</v>
      </c>
      <c r="L30" s="11" t="s">
        <v>331</v>
      </c>
      <c r="M30" s="11" t="s">
        <v>332</v>
      </c>
      <c r="N30" s="11" t="s">
        <v>333</v>
      </c>
      <c r="O30" s="11" t="s">
        <v>334</v>
      </c>
      <c r="P30" s="11" t="s">
        <v>52</v>
      </c>
      <c r="Q30" s="11" t="s">
        <v>335</v>
      </c>
      <c r="R30" s="11" t="s">
        <v>336</v>
      </c>
      <c r="S30" s="11" t="s">
        <v>39</v>
      </c>
      <c r="T30" s="11"/>
      <c r="U30" s="28" t="s">
        <v>337</v>
      </c>
    </row>
    <row r="31" spans="1:21" ht="69" hidden="1" customHeight="1">
      <c r="A31" s="11" t="s">
        <v>338</v>
      </c>
      <c r="B31" s="11" t="s">
        <v>195</v>
      </c>
      <c r="C31" s="11">
        <v>13</v>
      </c>
      <c r="D31" s="11" t="s">
        <v>25</v>
      </c>
      <c r="E31" s="11" t="s">
        <v>182</v>
      </c>
      <c r="F31" s="11" t="s">
        <v>339</v>
      </c>
      <c r="G31" s="11" t="s">
        <v>340</v>
      </c>
      <c r="H31" s="11" t="s">
        <v>46</v>
      </c>
      <c r="I31" s="16">
        <v>1</v>
      </c>
      <c r="J31" s="11" t="s">
        <v>185</v>
      </c>
      <c r="K31" s="11" t="s">
        <v>37</v>
      </c>
      <c r="L31" s="11" t="s">
        <v>341</v>
      </c>
      <c r="M31" s="11" t="s">
        <v>342</v>
      </c>
      <c r="N31" s="11" t="s">
        <v>188</v>
      </c>
      <c r="O31" s="11" t="s">
        <v>343</v>
      </c>
      <c r="P31" s="11" t="s">
        <v>323</v>
      </c>
      <c r="Q31" s="11" t="s">
        <v>326</v>
      </c>
      <c r="R31" s="11" t="s">
        <v>191</v>
      </c>
      <c r="S31" s="11" t="s">
        <v>39</v>
      </c>
      <c r="T31" s="11" t="s">
        <v>344</v>
      </c>
      <c r="U31" s="28" t="s">
        <v>345</v>
      </c>
    </row>
    <row r="32" spans="1:21" ht="110.4" hidden="1" customHeight="1">
      <c r="A32" s="11" t="s">
        <v>346</v>
      </c>
      <c r="B32" s="11" t="s">
        <v>347</v>
      </c>
      <c r="C32" s="11">
        <v>1</v>
      </c>
      <c r="D32" s="11" t="s">
        <v>25</v>
      </c>
      <c r="E32" s="11" t="s">
        <v>348</v>
      </c>
      <c r="F32" s="11" t="s">
        <v>349</v>
      </c>
      <c r="G32" s="11" t="s">
        <v>350</v>
      </c>
      <c r="H32" s="11" t="s">
        <v>60</v>
      </c>
      <c r="I32" s="16">
        <v>1</v>
      </c>
      <c r="J32" s="11" t="s">
        <v>351</v>
      </c>
      <c r="K32" s="11" t="s">
        <v>352</v>
      </c>
      <c r="L32" s="11" t="s">
        <v>353</v>
      </c>
      <c r="M32" s="11" t="s">
        <v>354</v>
      </c>
      <c r="N32" s="11" t="s">
        <v>355</v>
      </c>
      <c r="O32" s="11" t="s">
        <v>356</v>
      </c>
      <c r="P32" s="11" t="s">
        <v>357</v>
      </c>
      <c r="Q32" s="11" t="s">
        <v>338</v>
      </c>
      <c r="R32" s="11" t="s">
        <v>358</v>
      </c>
      <c r="S32" s="11" t="s">
        <v>39</v>
      </c>
      <c r="T32" s="11"/>
      <c r="U32" s="28" t="s">
        <v>359</v>
      </c>
    </row>
    <row r="33" spans="1:21" ht="110.4" hidden="1" customHeight="1">
      <c r="A33" s="11" t="s">
        <v>360</v>
      </c>
      <c r="B33" s="11" t="s">
        <v>347</v>
      </c>
      <c r="C33" s="11">
        <v>2</v>
      </c>
      <c r="D33" s="11" t="s">
        <v>25</v>
      </c>
      <c r="E33" s="11" t="s">
        <v>361</v>
      </c>
      <c r="F33" s="11" t="s">
        <v>362</v>
      </c>
      <c r="G33" s="11" t="s">
        <v>363</v>
      </c>
      <c r="H33" s="11" t="s">
        <v>60</v>
      </c>
      <c r="I33" s="16">
        <v>1.25</v>
      </c>
      <c r="J33" s="11" t="s">
        <v>351</v>
      </c>
      <c r="K33" s="11" t="s">
        <v>364</v>
      </c>
      <c r="L33" s="11" t="s">
        <v>365</v>
      </c>
      <c r="M33" s="11" t="s">
        <v>366</v>
      </c>
      <c r="N33" s="11" t="s">
        <v>367</v>
      </c>
      <c r="O33" s="11" t="s">
        <v>368</v>
      </c>
      <c r="P33" s="11" t="s">
        <v>369</v>
      </c>
      <c r="Q33" s="11" t="s">
        <v>346</v>
      </c>
      <c r="R33" s="11" t="s">
        <v>370</v>
      </c>
      <c r="S33" s="11" t="s">
        <v>39</v>
      </c>
      <c r="T33" s="11"/>
      <c r="U33" s="28" t="s">
        <v>371</v>
      </c>
    </row>
    <row r="34" spans="1:21" ht="96.6" hidden="1" customHeight="1">
      <c r="A34" s="11" t="s">
        <v>372</v>
      </c>
      <c r="B34" s="11" t="s">
        <v>347</v>
      </c>
      <c r="C34" s="11">
        <v>3</v>
      </c>
      <c r="D34" s="11" t="s">
        <v>25</v>
      </c>
      <c r="E34" s="11" t="s">
        <v>373</v>
      </c>
      <c r="F34" s="11" t="s">
        <v>374</v>
      </c>
      <c r="G34" s="11" t="s">
        <v>375</v>
      </c>
      <c r="H34" s="11" t="s">
        <v>60</v>
      </c>
      <c r="I34" s="16">
        <v>0.75</v>
      </c>
      <c r="J34" s="11" t="s">
        <v>351</v>
      </c>
      <c r="K34" s="11" t="s">
        <v>37</v>
      </c>
      <c r="L34" s="11" t="s">
        <v>376</v>
      </c>
      <c r="M34" s="11" t="s">
        <v>377</v>
      </c>
      <c r="N34" s="11" t="s">
        <v>378</v>
      </c>
      <c r="O34" s="11" t="s">
        <v>379</v>
      </c>
      <c r="P34" s="11" t="s">
        <v>380</v>
      </c>
      <c r="Q34" s="11" t="s">
        <v>346</v>
      </c>
      <c r="R34" s="11" t="s">
        <v>381</v>
      </c>
      <c r="S34" s="11" t="s">
        <v>39</v>
      </c>
      <c r="T34" s="11"/>
      <c r="U34" s="28" t="s">
        <v>382</v>
      </c>
    </row>
    <row r="35" spans="1:21" ht="110.4" hidden="1" customHeight="1">
      <c r="A35" s="11" t="s">
        <v>383</v>
      </c>
      <c r="B35" s="11" t="s">
        <v>347</v>
      </c>
      <c r="C35" s="11">
        <v>4</v>
      </c>
      <c r="D35" s="11" t="s">
        <v>25</v>
      </c>
      <c r="E35" s="11" t="s">
        <v>384</v>
      </c>
      <c r="F35" s="11" t="s">
        <v>385</v>
      </c>
      <c r="G35" s="11" t="s">
        <v>386</v>
      </c>
      <c r="H35" s="11" t="s">
        <v>60</v>
      </c>
      <c r="I35" s="16">
        <v>1.5</v>
      </c>
      <c r="J35" s="11" t="s">
        <v>351</v>
      </c>
      <c r="K35" s="11" t="s">
        <v>387</v>
      </c>
      <c r="L35" s="11" t="s">
        <v>388</v>
      </c>
      <c r="M35" s="11" t="s">
        <v>389</v>
      </c>
      <c r="N35" s="11" t="s">
        <v>390</v>
      </c>
      <c r="O35" s="11" t="s">
        <v>391</v>
      </c>
      <c r="P35" s="11" t="s">
        <v>380</v>
      </c>
      <c r="Q35" s="11" t="s">
        <v>392</v>
      </c>
      <c r="R35" s="11" t="s">
        <v>393</v>
      </c>
      <c r="S35" s="11" t="s">
        <v>39</v>
      </c>
      <c r="T35" s="11"/>
      <c r="U35" s="28" t="s">
        <v>394</v>
      </c>
    </row>
    <row r="36" spans="1:21" ht="110.4" hidden="1" customHeight="1">
      <c r="A36" s="11" t="s">
        <v>395</v>
      </c>
      <c r="B36" s="11" t="s">
        <v>347</v>
      </c>
      <c r="C36" s="11">
        <v>5</v>
      </c>
      <c r="D36" s="11" t="s">
        <v>25</v>
      </c>
      <c r="E36" s="11" t="s">
        <v>396</v>
      </c>
      <c r="F36" s="11" t="s">
        <v>397</v>
      </c>
      <c r="G36" s="11" t="s">
        <v>398</v>
      </c>
      <c r="H36" s="11" t="s">
        <v>60</v>
      </c>
      <c r="I36" s="16">
        <v>1</v>
      </c>
      <c r="J36" s="11" t="s">
        <v>399</v>
      </c>
      <c r="K36" s="11" t="s">
        <v>400</v>
      </c>
      <c r="L36" s="11" t="s">
        <v>401</v>
      </c>
      <c r="M36" s="11" t="s">
        <v>402</v>
      </c>
      <c r="N36" s="11" t="s">
        <v>403</v>
      </c>
      <c r="O36" s="11" t="s">
        <v>404</v>
      </c>
      <c r="P36" s="11" t="s">
        <v>274</v>
      </c>
      <c r="Q36" s="11" t="s">
        <v>383</v>
      </c>
      <c r="R36" s="11" t="s">
        <v>405</v>
      </c>
      <c r="S36" s="11" t="s">
        <v>39</v>
      </c>
      <c r="T36" s="11"/>
      <c r="U36" s="28" t="s">
        <v>406</v>
      </c>
    </row>
    <row r="37" spans="1:21" ht="110.4" hidden="1" customHeight="1">
      <c r="A37" s="11" t="s">
        <v>407</v>
      </c>
      <c r="B37" s="11" t="s">
        <v>347</v>
      </c>
      <c r="C37" s="11">
        <v>6</v>
      </c>
      <c r="D37" s="11" t="s">
        <v>25</v>
      </c>
      <c r="E37" s="11" t="s">
        <v>408</v>
      </c>
      <c r="F37" s="11" t="s">
        <v>409</v>
      </c>
      <c r="G37" s="11" t="s">
        <v>410</v>
      </c>
      <c r="H37" s="11" t="s">
        <v>29</v>
      </c>
      <c r="I37" s="16">
        <v>1.25</v>
      </c>
      <c r="J37" s="11" t="s">
        <v>411</v>
      </c>
      <c r="K37" s="11" t="s">
        <v>412</v>
      </c>
      <c r="L37" s="11" t="s">
        <v>413</v>
      </c>
      <c r="M37" s="11" t="s">
        <v>414</v>
      </c>
      <c r="N37" s="11" t="s">
        <v>415</v>
      </c>
      <c r="O37" s="11" t="s">
        <v>416</v>
      </c>
      <c r="P37" s="11" t="s">
        <v>103</v>
      </c>
      <c r="Q37" s="11" t="s">
        <v>288</v>
      </c>
      <c r="R37" s="11" t="s">
        <v>417</v>
      </c>
      <c r="S37" s="11" t="s">
        <v>39</v>
      </c>
      <c r="T37" s="11"/>
      <c r="U37" s="28" t="s">
        <v>418</v>
      </c>
    </row>
    <row r="38" spans="1:21" ht="110.4" hidden="1" customHeight="1">
      <c r="A38" s="11" t="s">
        <v>419</v>
      </c>
      <c r="B38" s="11" t="s">
        <v>347</v>
      </c>
      <c r="C38" s="11">
        <v>7</v>
      </c>
      <c r="D38" s="11" t="s">
        <v>25</v>
      </c>
      <c r="E38" s="11" t="s">
        <v>420</v>
      </c>
      <c r="F38" s="11" t="s">
        <v>421</v>
      </c>
      <c r="G38" s="11" t="s">
        <v>422</v>
      </c>
      <c r="H38" s="11" t="s">
        <v>60</v>
      </c>
      <c r="I38" s="16">
        <v>1.5</v>
      </c>
      <c r="J38" s="11" t="s">
        <v>411</v>
      </c>
      <c r="K38" s="11" t="s">
        <v>423</v>
      </c>
      <c r="L38" s="11" t="s">
        <v>424</v>
      </c>
      <c r="M38" s="11" t="s">
        <v>425</v>
      </c>
      <c r="N38" s="11" t="s">
        <v>426</v>
      </c>
      <c r="O38" s="11" t="s">
        <v>427</v>
      </c>
      <c r="P38" s="11" t="s">
        <v>103</v>
      </c>
      <c r="Q38" s="11" t="s">
        <v>428</v>
      </c>
      <c r="R38" s="11" t="s">
        <v>429</v>
      </c>
      <c r="S38" s="11" t="s">
        <v>39</v>
      </c>
      <c r="T38" s="11"/>
      <c r="U38" s="28" t="s">
        <v>430</v>
      </c>
    </row>
    <row r="39" spans="1:21" ht="110.4" hidden="1" customHeight="1">
      <c r="A39" s="11" t="s">
        <v>431</v>
      </c>
      <c r="B39" s="11" t="s">
        <v>347</v>
      </c>
      <c r="C39" s="11">
        <v>8</v>
      </c>
      <c r="D39" s="11" t="s">
        <v>25</v>
      </c>
      <c r="E39" s="11" t="s">
        <v>432</v>
      </c>
      <c r="F39" s="11" t="s">
        <v>433</v>
      </c>
      <c r="G39" s="11" t="s">
        <v>434</v>
      </c>
      <c r="H39" s="11" t="s">
        <v>60</v>
      </c>
      <c r="I39" s="16">
        <v>1</v>
      </c>
      <c r="J39" s="11" t="s">
        <v>399</v>
      </c>
      <c r="K39" s="11" t="s">
        <v>281</v>
      </c>
      <c r="L39" s="11" t="s">
        <v>435</v>
      </c>
      <c r="M39" s="11" t="s">
        <v>436</v>
      </c>
      <c r="N39" s="11" t="s">
        <v>437</v>
      </c>
      <c r="O39" s="11" t="s">
        <v>438</v>
      </c>
      <c r="P39" s="11" t="s">
        <v>274</v>
      </c>
      <c r="Q39" s="11" t="s">
        <v>395</v>
      </c>
      <c r="R39" s="11" t="s">
        <v>439</v>
      </c>
      <c r="S39" s="11" t="s">
        <v>39</v>
      </c>
      <c r="T39" s="11"/>
      <c r="U39" s="28" t="s">
        <v>440</v>
      </c>
    </row>
    <row r="40" spans="1:21" ht="110.4" hidden="1" customHeight="1">
      <c r="A40" s="11" t="s">
        <v>441</v>
      </c>
      <c r="B40" s="11" t="s">
        <v>347</v>
      </c>
      <c r="C40" s="11">
        <v>9</v>
      </c>
      <c r="D40" s="11" t="s">
        <v>25</v>
      </c>
      <c r="E40" s="11" t="s">
        <v>442</v>
      </c>
      <c r="F40" s="11" t="s">
        <v>443</v>
      </c>
      <c r="G40" s="11" t="s">
        <v>444</v>
      </c>
      <c r="H40" s="11" t="s">
        <v>60</v>
      </c>
      <c r="I40" s="16">
        <v>0.75</v>
      </c>
      <c r="J40" s="11" t="s">
        <v>445</v>
      </c>
      <c r="K40" s="11" t="s">
        <v>446</v>
      </c>
      <c r="L40" s="11" t="s">
        <v>447</v>
      </c>
      <c r="M40" s="11" t="s">
        <v>448</v>
      </c>
      <c r="N40" s="11" t="s">
        <v>449</v>
      </c>
      <c r="O40" s="11" t="s">
        <v>450</v>
      </c>
      <c r="P40" s="11" t="s">
        <v>451</v>
      </c>
      <c r="Q40" s="11" t="s">
        <v>383</v>
      </c>
      <c r="R40" s="11" t="s">
        <v>452</v>
      </c>
      <c r="S40" s="11" t="s">
        <v>39</v>
      </c>
      <c r="T40" s="11"/>
      <c r="U40" s="28" t="s">
        <v>453</v>
      </c>
    </row>
    <row r="41" spans="1:21" ht="110.4" hidden="1" customHeight="1">
      <c r="A41" s="11" t="s">
        <v>454</v>
      </c>
      <c r="B41" s="11" t="s">
        <v>347</v>
      </c>
      <c r="C41" s="11">
        <v>10</v>
      </c>
      <c r="D41" s="11" t="s">
        <v>25</v>
      </c>
      <c r="E41" s="11" t="s">
        <v>455</v>
      </c>
      <c r="F41" s="11" t="s">
        <v>456</v>
      </c>
      <c r="G41" s="11" t="s">
        <v>457</v>
      </c>
      <c r="H41" s="11" t="s">
        <v>46</v>
      </c>
      <c r="I41" s="16">
        <v>0.75</v>
      </c>
      <c r="J41" s="11" t="s">
        <v>411</v>
      </c>
      <c r="K41" s="11" t="s">
        <v>458</v>
      </c>
      <c r="L41" s="11" t="s">
        <v>459</v>
      </c>
      <c r="M41" s="11" t="s">
        <v>460</v>
      </c>
      <c r="N41" s="11" t="s">
        <v>461</v>
      </c>
      <c r="O41" s="11" t="s">
        <v>462</v>
      </c>
      <c r="P41" s="11" t="s">
        <v>103</v>
      </c>
      <c r="Q41" s="11" t="s">
        <v>419</v>
      </c>
      <c r="R41" s="11" t="s">
        <v>463</v>
      </c>
      <c r="S41" s="11" t="s">
        <v>39</v>
      </c>
      <c r="T41" s="11"/>
      <c r="U41" s="28" t="s">
        <v>464</v>
      </c>
    </row>
    <row r="42" spans="1:21" ht="193.8" hidden="1" customHeight="1">
      <c r="A42" s="11" t="s">
        <v>465</v>
      </c>
      <c r="B42" s="11" t="s">
        <v>347</v>
      </c>
      <c r="C42" s="11">
        <v>11</v>
      </c>
      <c r="D42" s="11" t="s">
        <v>25</v>
      </c>
      <c r="E42" s="11" t="s">
        <v>466</v>
      </c>
      <c r="F42" s="11" t="s">
        <v>467</v>
      </c>
      <c r="G42" s="11" t="s">
        <v>468</v>
      </c>
      <c r="H42" s="11" t="s">
        <v>46</v>
      </c>
      <c r="I42" s="16">
        <v>1</v>
      </c>
      <c r="J42" s="11" t="s">
        <v>469</v>
      </c>
      <c r="K42" s="11" t="s">
        <v>37</v>
      </c>
      <c r="L42" s="11" t="s">
        <v>470</v>
      </c>
      <c r="M42" s="11" t="s">
        <v>471</v>
      </c>
      <c r="N42" s="11" t="s">
        <v>472</v>
      </c>
      <c r="O42" s="11" t="s">
        <v>473</v>
      </c>
      <c r="P42" s="11" t="s">
        <v>474</v>
      </c>
      <c r="Q42" s="11" t="s">
        <v>454</v>
      </c>
      <c r="R42" s="11" t="s">
        <v>475</v>
      </c>
      <c r="S42" s="11" t="s">
        <v>39</v>
      </c>
      <c r="T42" s="11"/>
      <c r="U42" s="28" t="s">
        <v>476</v>
      </c>
    </row>
    <row r="43" spans="1:21" ht="193.8" hidden="1" customHeight="1">
      <c r="A43" s="11" t="s">
        <v>477</v>
      </c>
      <c r="B43" s="11" t="s">
        <v>347</v>
      </c>
      <c r="C43" s="11">
        <v>12</v>
      </c>
      <c r="D43" s="11" t="s">
        <v>25</v>
      </c>
      <c r="E43" s="11" t="s">
        <v>168</v>
      </c>
      <c r="F43" s="11" t="s">
        <v>478</v>
      </c>
      <c r="G43" s="11" t="s">
        <v>479</v>
      </c>
      <c r="H43" s="11" t="s">
        <v>29</v>
      </c>
      <c r="I43" s="16">
        <v>0.75</v>
      </c>
      <c r="J43" s="11" t="s">
        <v>480</v>
      </c>
      <c r="K43" s="11" t="s">
        <v>481</v>
      </c>
      <c r="L43" s="11" t="s">
        <v>482</v>
      </c>
      <c r="M43" s="11" t="s">
        <v>483</v>
      </c>
      <c r="N43" s="11" t="s">
        <v>484</v>
      </c>
      <c r="O43" s="11" t="s">
        <v>485</v>
      </c>
      <c r="P43" s="11" t="s">
        <v>52</v>
      </c>
      <c r="Q43" s="11" t="s">
        <v>486</v>
      </c>
      <c r="R43" s="11" t="s">
        <v>487</v>
      </c>
      <c r="S43" s="11" t="s">
        <v>39</v>
      </c>
      <c r="T43" s="11"/>
      <c r="U43" s="28" t="s">
        <v>488</v>
      </c>
    </row>
    <row r="44" spans="1:21" ht="69" hidden="1" customHeight="1">
      <c r="A44" s="11" t="s">
        <v>489</v>
      </c>
      <c r="B44" s="11" t="s">
        <v>347</v>
      </c>
      <c r="C44" s="11">
        <v>13</v>
      </c>
      <c r="D44" s="11" t="s">
        <v>25</v>
      </c>
      <c r="E44" s="11" t="s">
        <v>182</v>
      </c>
      <c r="F44" s="11" t="s">
        <v>490</v>
      </c>
      <c r="G44" s="11" t="s">
        <v>491</v>
      </c>
      <c r="H44" s="11" t="s">
        <v>46</v>
      </c>
      <c r="I44" s="16">
        <v>1</v>
      </c>
      <c r="J44" s="11" t="s">
        <v>185</v>
      </c>
      <c r="K44" s="11" t="s">
        <v>37</v>
      </c>
      <c r="L44" s="11" t="s">
        <v>492</v>
      </c>
      <c r="M44" s="11" t="s">
        <v>493</v>
      </c>
      <c r="N44" s="11" t="s">
        <v>188</v>
      </c>
      <c r="O44" s="11" t="s">
        <v>494</v>
      </c>
      <c r="P44" s="11" t="s">
        <v>495</v>
      </c>
      <c r="Q44" s="11" t="s">
        <v>477</v>
      </c>
      <c r="R44" s="11" t="s">
        <v>191</v>
      </c>
      <c r="S44" s="11" t="s">
        <v>39</v>
      </c>
      <c r="T44" s="11" t="s">
        <v>496</v>
      </c>
      <c r="U44" s="28" t="s">
        <v>497</v>
      </c>
    </row>
    <row r="45" spans="1:21" ht="110.4" hidden="1" customHeight="1">
      <c r="A45" s="11" t="s">
        <v>498</v>
      </c>
      <c r="B45" s="11" t="s">
        <v>499</v>
      </c>
      <c r="C45" s="11">
        <v>1</v>
      </c>
      <c r="D45" s="11" t="s">
        <v>25</v>
      </c>
      <c r="E45" s="11" t="s">
        <v>500</v>
      </c>
      <c r="F45" s="11" t="s">
        <v>501</v>
      </c>
      <c r="G45" s="11" t="s">
        <v>502</v>
      </c>
      <c r="H45" s="11" t="s">
        <v>60</v>
      </c>
      <c r="I45" s="16">
        <v>1.5</v>
      </c>
      <c r="J45" s="11" t="s">
        <v>503</v>
      </c>
      <c r="K45" s="11" t="s">
        <v>281</v>
      </c>
      <c r="L45" s="11" t="s">
        <v>504</v>
      </c>
      <c r="M45" s="11" t="s">
        <v>505</v>
      </c>
      <c r="N45" s="11" t="s">
        <v>506</v>
      </c>
      <c r="O45" s="11" t="s">
        <v>507</v>
      </c>
      <c r="P45" s="11" t="s">
        <v>508</v>
      </c>
      <c r="Q45" s="11" t="s">
        <v>489</v>
      </c>
      <c r="R45" s="11" t="s">
        <v>509</v>
      </c>
      <c r="S45" s="11" t="s">
        <v>39</v>
      </c>
      <c r="T45" s="11"/>
      <c r="U45" s="28" t="s">
        <v>510</v>
      </c>
    </row>
    <row r="46" spans="1:21" ht="110.4" hidden="1" customHeight="1">
      <c r="A46" s="11" t="s">
        <v>511</v>
      </c>
      <c r="B46" s="11" t="s">
        <v>499</v>
      </c>
      <c r="C46" s="11">
        <v>2</v>
      </c>
      <c r="D46" s="11" t="s">
        <v>25</v>
      </c>
      <c r="E46" s="11" t="s">
        <v>278</v>
      </c>
      <c r="F46" s="11" t="s">
        <v>512</v>
      </c>
      <c r="G46" s="11" t="s">
        <v>513</v>
      </c>
      <c r="H46" s="11" t="s">
        <v>60</v>
      </c>
      <c r="I46" s="16">
        <v>1</v>
      </c>
      <c r="J46" s="11" t="s">
        <v>503</v>
      </c>
      <c r="K46" s="11" t="s">
        <v>281</v>
      </c>
      <c r="L46" s="11" t="s">
        <v>514</v>
      </c>
      <c r="M46" s="11" t="s">
        <v>515</v>
      </c>
      <c r="N46" s="11" t="s">
        <v>516</v>
      </c>
      <c r="O46" s="11" t="s">
        <v>517</v>
      </c>
      <c r="P46" s="11" t="s">
        <v>274</v>
      </c>
      <c r="Q46" s="11" t="s">
        <v>498</v>
      </c>
      <c r="R46" s="11" t="s">
        <v>518</v>
      </c>
      <c r="S46" s="11" t="s">
        <v>39</v>
      </c>
      <c r="T46" s="11"/>
      <c r="U46" s="28" t="s">
        <v>519</v>
      </c>
    </row>
    <row r="47" spans="1:21" ht="110.4" hidden="1" customHeight="1">
      <c r="A47" s="11" t="s">
        <v>520</v>
      </c>
      <c r="B47" s="11" t="s">
        <v>499</v>
      </c>
      <c r="C47" s="11">
        <v>3</v>
      </c>
      <c r="D47" s="11" t="s">
        <v>25</v>
      </c>
      <c r="E47" s="11" t="s">
        <v>521</v>
      </c>
      <c r="F47" s="11" t="s">
        <v>522</v>
      </c>
      <c r="G47" s="11" t="s">
        <v>523</v>
      </c>
      <c r="H47" s="11" t="s">
        <v>60</v>
      </c>
      <c r="I47" s="16">
        <v>1.25</v>
      </c>
      <c r="J47" s="11" t="s">
        <v>524</v>
      </c>
      <c r="K47" s="11" t="s">
        <v>481</v>
      </c>
      <c r="L47" s="11" t="s">
        <v>525</v>
      </c>
      <c r="M47" s="11" t="s">
        <v>526</v>
      </c>
      <c r="N47" s="11" t="s">
        <v>527</v>
      </c>
      <c r="O47" s="11" t="s">
        <v>528</v>
      </c>
      <c r="P47" s="11" t="s">
        <v>529</v>
      </c>
      <c r="Q47" s="11" t="s">
        <v>511</v>
      </c>
      <c r="R47" s="11" t="s">
        <v>530</v>
      </c>
      <c r="S47" s="11" t="s">
        <v>39</v>
      </c>
      <c r="T47" s="11"/>
      <c r="U47" s="28" t="s">
        <v>531</v>
      </c>
    </row>
    <row r="48" spans="1:21" ht="96.6" hidden="1" customHeight="1">
      <c r="A48" s="11" t="s">
        <v>532</v>
      </c>
      <c r="B48" s="11" t="s">
        <v>499</v>
      </c>
      <c r="C48" s="11">
        <v>4</v>
      </c>
      <c r="D48" s="11" t="s">
        <v>25</v>
      </c>
      <c r="E48" s="11" t="s">
        <v>533</v>
      </c>
      <c r="F48" s="11" t="s">
        <v>534</v>
      </c>
      <c r="G48" s="11" t="s">
        <v>535</v>
      </c>
      <c r="H48" s="11" t="s">
        <v>60</v>
      </c>
      <c r="I48" s="16">
        <v>0.75</v>
      </c>
      <c r="J48" s="11" t="s">
        <v>524</v>
      </c>
      <c r="K48" s="11" t="s">
        <v>37</v>
      </c>
      <c r="L48" s="11" t="s">
        <v>536</v>
      </c>
      <c r="M48" s="11" t="s">
        <v>537</v>
      </c>
      <c r="N48" s="11" t="s">
        <v>538</v>
      </c>
      <c r="O48" s="11" t="s">
        <v>539</v>
      </c>
      <c r="P48" s="11" t="s">
        <v>529</v>
      </c>
      <c r="Q48" s="11" t="s">
        <v>520</v>
      </c>
      <c r="R48" s="11" t="s">
        <v>540</v>
      </c>
      <c r="S48" s="11" t="s">
        <v>39</v>
      </c>
      <c r="T48" s="11"/>
      <c r="U48" s="28" t="s">
        <v>541</v>
      </c>
    </row>
    <row r="49" spans="1:21" ht="96.6" hidden="1" customHeight="1">
      <c r="A49" s="11" t="s">
        <v>542</v>
      </c>
      <c r="B49" s="11" t="s">
        <v>499</v>
      </c>
      <c r="C49" s="11">
        <v>5</v>
      </c>
      <c r="D49" s="11" t="s">
        <v>25</v>
      </c>
      <c r="E49" s="11" t="s">
        <v>543</v>
      </c>
      <c r="F49" s="11" t="s">
        <v>544</v>
      </c>
      <c r="G49" s="11" t="s">
        <v>545</v>
      </c>
      <c r="H49" s="11" t="s">
        <v>60</v>
      </c>
      <c r="I49" s="16">
        <v>1.25</v>
      </c>
      <c r="J49" s="11" t="s">
        <v>524</v>
      </c>
      <c r="K49" s="11" t="s">
        <v>481</v>
      </c>
      <c r="L49" s="11" t="s">
        <v>546</v>
      </c>
      <c r="M49" s="11" t="s">
        <v>547</v>
      </c>
      <c r="N49" s="11" t="s">
        <v>548</v>
      </c>
      <c r="O49" s="11" t="s">
        <v>549</v>
      </c>
      <c r="P49" s="11" t="s">
        <v>550</v>
      </c>
      <c r="Q49" s="11" t="s">
        <v>551</v>
      </c>
      <c r="R49" s="11" t="s">
        <v>552</v>
      </c>
      <c r="S49" s="11" t="s">
        <v>39</v>
      </c>
      <c r="T49" s="11"/>
      <c r="U49" s="28" t="s">
        <v>553</v>
      </c>
    </row>
    <row r="50" spans="1:21" ht="110.4" hidden="1" customHeight="1">
      <c r="A50" s="11" t="s">
        <v>554</v>
      </c>
      <c r="B50" s="11" t="s">
        <v>499</v>
      </c>
      <c r="C50" s="11">
        <v>6</v>
      </c>
      <c r="D50" s="11" t="s">
        <v>25</v>
      </c>
      <c r="E50" s="11" t="s">
        <v>555</v>
      </c>
      <c r="F50" s="11" t="s">
        <v>556</v>
      </c>
      <c r="G50" s="11" t="s">
        <v>557</v>
      </c>
      <c r="H50" s="11" t="s">
        <v>60</v>
      </c>
      <c r="I50" s="16">
        <v>1</v>
      </c>
      <c r="J50" s="11" t="s">
        <v>524</v>
      </c>
      <c r="K50" s="11" t="s">
        <v>558</v>
      </c>
      <c r="L50" s="11" t="s">
        <v>559</v>
      </c>
      <c r="M50" s="11" t="s">
        <v>560</v>
      </c>
      <c r="N50" s="11" t="s">
        <v>561</v>
      </c>
      <c r="O50" s="11" t="s">
        <v>562</v>
      </c>
      <c r="P50" s="11" t="s">
        <v>529</v>
      </c>
      <c r="Q50" s="11" t="s">
        <v>520</v>
      </c>
      <c r="R50" s="11" t="s">
        <v>563</v>
      </c>
      <c r="S50" s="11" t="s">
        <v>39</v>
      </c>
      <c r="T50" s="11"/>
      <c r="U50" s="28" t="s">
        <v>564</v>
      </c>
    </row>
    <row r="51" spans="1:21" ht="96.6" hidden="1" customHeight="1">
      <c r="A51" s="11" t="s">
        <v>565</v>
      </c>
      <c r="B51" s="11" t="s">
        <v>499</v>
      </c>
      <c r="C51" s="11">
        <v>7</v>
      </c>
      <c r="D51" s="11" t="s">
        <v>25</v>
      </c>
      <c r="E51" s="11" t="s">
        <v>566</v>
      </c>
      <c r="F51" s="11" t="s">
        <v>567</v>
      </c>
      <c r="G51" s="11" t="s">
        <v>568</v>
      </c>
      <c r="H51" s="11" t="s">
        <v>60</v>
      </c>
      <c r="I51" s="16">
        <v>0.75</v>
      </c>
      <c r="J51" s="11" t="s">
        <v>524</v>
      </c>
      <c r="K51" s="11" t="s">
        <v>569</v>
      </c>
      <c r="L51" s="11" t="s">
        <v>570</v>
      </c>
      <c r="M51" s="11" t="s">
        <v>571</v>
      </c>
      <c r="N51" s="11" t="s">
        <v>572</v>
      </c>
      <c r="O51" s="11" t="s">
        <v>573</v>
      </c>
      <c r="P51" s="11" t="s">
        <v>274</v>
      </c>
      <c r="Q51" s="11" t="s">
        <v>542</v>
      </c>
      <c r="R51" s="11" t="s">
        <v>574</v>
      </c>
      <c r="S51" s="11" t="s">
        <v>39</v>
      </c>
      <c r="T51" s="11"/>
      <c r="U51" s="28" t="s">
        <v>575</v>
      </c>
    </row>
    <row r="52" spans="1:21" ht="110.4" hidden="1" customHeight="1">
      <c r="A52" s="11" t="s">
        <v>576</v>
      </c>
      <c r="B52" s="11" t="s">
        <v>499</v>
      </c>
      <c r="C52" s="11">
        <v>8</v>
      </c>
      <c r="D52" s="11" t="s">
        <v>25</v>
      </c>
      <c r="E52" s="11" t="s">
        <v>577</v>
      </c>
      <c r="F52" s="11" t="s">
        <v>578</v>
      </c>
      <c r="G52" s="11" t="s">
        <v>579</v>
      </c>
      <c r="H52" s="11" t="s">
        <v>60</v>
      </c>
      <c r="I52" s="16">
        <v>1</v>
      </c>
      <c r="J52" s="11" t="s">
        <v>445</v>
      </c>
      <c r="K52" s="11" t="s">
        <v>446</v>
      </c>
      <c r="L52" s="11" t="s">
        <v>580</v>
      </c>
      <c r="M52" s="11" t="s">
        <v>581</v>
      </c>
      <c r="N52" s="11" t="s">
        <v>582</v>
      </c>
      <c r="O52" s="11" t="s">
        <v>583</v>
      </c>
      <c r="P52" s="11" t="s">
        <v>451</v>
      </c>
      <c r="Q52" s="11" t="s">
        <v>584</v>
      </c>
      <c r="R52" s="11" t="s">
        <v>585</v>
      </c>
      <c r="S52" s="11" t="s">
        <v>39</v>
      </c>
      <c r="T52" s="11"/>
      <c r="U52" s="28" t="s">
        <v>586</v>
      </c>
    </row>
    <row r="53" spans="1:21" ht="110.4" hidden="1" customHeight="1">
      <c r="A53" s="11" t="s">
        <v>587</v>
      </c>
      <c r="B53" s="11" t="s">
        <v>499</v>
      </c>
      <c r="C53" s="11">
        <v>9</v>
      </c>
      <c r="D53" s="11" t="s">
        <v>25</v>
      </c>
      <c r="E53" s="11" t="s">
        <v>588</v>
      </c>
      <c r="F53" s="11" t="s">
        <v>589</v>
      </c>
      <c r="G53" s="11" t="s">
        <v>590</v>
      </c>
      <c r="H53" s="11" t="s">
        <v>60</v>
      </c>
      <c r="I53" s="16">
        <v>1</v>
      </c>
      <c r="J53" s="11" t="s">
        <v>524</v>
      </c>
      <c r="K53" s="11" t="s">
        <v>37</v>
      </c>
      <c r="L53" s="11" t="s">
        <v>591</v>
      </c>
      <c r="M53" s="11" t="s">
        <v>592</v>
      </c>
      <c r="N53" s="11" t="s">
        <v>593</v>
      </c>
      <c r="O53" s="11" t="s">
        <v>594</v>
      </c>
      <c r="P53" s="11" t="s">
        <v>595</v>
      </c>
      <c r="Q53" s="11" t="s">
        <v>596</v>
      </c>
      <c r="R53" s="11" t="s">
        <v>597</v>
      </c>
      <c r="S53" s="11" t="s">
        <v>39</v>
      </c>
      <c r="T53" s="11"/>
      <c r="U53" s="28" t="s">
        <v>598</v>
      </c>
    </row>
    <row r="54" spans="1:21" ht="110.4" hidden="1" customHeight="1">
      <c r="A54" s="11" t="s">
        <v>599</v>
      </c>
      <c r="B54" s="11" t="s">
        <v>499</v>
      </c>
      <c r="C54" s="11">
        <v>10</v>
      </c>
      <c r="D54" s="11" t="s">
        <v>314</v>
      </c>
      <c r="E54" s="11" t="s">
        <v>600</v>
      </c>
      <c r="F54" s="11" t="s">
        <v>601</v>
      </c>
      <c r="G54" s="11" t="s">
        <v>602</v>
      </c>
      <c r="H54" s="11" t="s">
        <v>60</v>
      </c>
      <c r="I54" s="16">
        <v>0.75</v>
      </c>
      <c r="J54" s="11" t="s">
        <v>503</v>
      </c>
      <c r="K54" s="11" t="s">
        <v>558</v>
      </c>
      <c r="L54" s="11" t="s">
        <v>603</v>
      </c>
      <c r="M54" s="11" t="s">
        <v>604</v>
      </c>
      <c r="N54" s="11" t="s">
        <v>605</v>
      </c>
      <c r="O54" s="11" t="s">
        <v>606</v>
      </c>
      <c r="P54" s="11" t="s">
        <v>607</v>
      </c>
      <c r="Q54" s="11" t="s">
        <v>608</v>
      </c>
      <c r="R54" s="11" t="s">
        <v>609</v>
      </c>
      <c r="S54" s="11" t="s">
        <v>39</v>
      </c>
      <c r="T54" s="11"/>
      <c r="U54" s="28" t="s">
        <v>610</v>
      </c>
    </row>
    <row r="55" spans="1:21" ht="193.8" hidden="1" customHeight="1">
      <c r="A55" s="11" t="s">
        <v>611</v>
      </c>
      <c r="B55" s="11" t="s">
        <v>499</v>
      </c>
      <c r="C55" s="11">
        <v>11</v>
      </c>
      <c r="D55" s="11" t="s">
        <v>25</v>
      </c>
      <c r="E55" s="11" t="s">
        <v>612</v>
      </c>
      <c r="F55" s="11" t="s">
        <v>613</v>
      </c>
      <c r="G55" s="11" t="s">
        <v>614</v>
      </c>
      <c r="H55" s="11" t="s">
        <v>46</v>
      </c>
      <c r="I55" s="16">
        <v>1</v>
      </c>
      <c r="J55" s="11" t="s">
        <v>615</v>
      </c>
      <c r="K55" s="11" t="s">
        <v>37</v>
      </c>
      <c r="L55" s="11" t="s">
        <v>616</v>
      </c>
      <c r="M55" s="11" t="s">
        <v>617</v>
      </c>
      <c r="N55" s="11" t="s">
        <v>618</v>
      </c>
      <c r="O55" s="11" t="s">
        <v>619</v>
      </c>
      <c r="P55" s="11" t="s">
        <v>474</v>
      </c>
      <c r="Q55" s="11" t="s">
        <v>620</v>
      </c>
      <c r="R55" s="11" t="s">
        <v>621</v>
      </c>
      <c r="S55" s="11" t="s">
        <v>39</v>
      </c>
      <c r="T55" s="11"/>
      <c r="U55" s="28" t="s">
        <v>622</v>
      </c>
    </row>
    <row r="56" spans="1:21" ht="193.8" hidden="1" customHeight="1">
      <c r="A56" s="11" t="s">
        <v>623</v>
      </c>
      <c r="B56" s="11" t="s">
        <v>499</v>
      </c>
      <c r="C56" s="11">
        <v>12</v>
      </c>
      <c r="D56" s="11" t="s">
        <v>25</v>
      </c>
      <c r="E56" s="11" t="s">
        <v>168</v>
      </c>
      <c r="F56" s="11" t="s">
        <v>624</v>
      </c>
      <c r="G56" s="11" t="s">
        <v>625</v>
      </c>
      <c r="H56" s="11" t="s">
        <v>29</v>
      </c>
      <c r="I56" s="16">
        <v>0.75</v>
      </c>
      <c r="J56" s="11" t="s">
        <v>626</v>
      </c>
      <c r="K56" s="11" t="s">
        <v>627</v>
      </c>
      <c r="L56" s="11" t="s">
        <v>628</v>
      </c>
      <c r="M56" s="11" t="s">
        <v>629</v>
      </c>
      <c r="N56" s="11" t="s">
        <v>630</v>
      </c>
      <c r="O56" s="11" t="s">
        <v>631</v>
      </c>
      <c r="P56" s="11" t="s">
        <v>52</v>
      </c>
      <c r="Q56" s="11" t="s">
        <v>632</v>
      </c>
      <c r="R56" s="11" t="s">
        <v>633</v>
      </c>
      <c r="S56" s="11" t="s">
        <v>39</v>
      </c>
      <c r="T56" s="11"/>
      <c r="U56" s="28" t="s">
        <v>634</v>
      </c>
    </row>
    <row r="57" spans="1:21" ht="69" hidden="1" customHeight="1">
      <c r="A57" s="11" t="s">
        <v>635</v>
      </c>
      <c r="B57" s="11" t="s">
        <v>499</v>
      </c>
      <c r="C57" s="11">
        <v>13</v>
      </c>
      <c r="D57" s="11" t="s">
        <v>25</v>
      </c>
      <c r="E57" s="11" t="s">
        <v>182</v>
      </c>
      <c r="F57" s="11" t="s">
        <v>636</v>
      </c>
      <c r="G57" s="11" t="s">
        <v>637</v>
      </c>
      <c r="H57" s="11" t="s">
        <v>46</v>
      </c>
      <c r="I57" s="16">
        <v>1</v>
      </c>
      <c r="J57" s="11" t="s">
        <v>185</v>
      </c>
      <c r="K57" s="11" t="s">
        <v>37</v>
      </c>
      <c r="L57" s="11" t="s">
        <v>638</v>
      </c>
      <c r="M57" s="11" t="s">
        <v>639</v>
      </c>
      <c r="N57" s="11" t="s">
        <v>188</v>
      </c>
      <c r="O57" s="11" t="s">
        <v>640</v>
      </c>
      <c r="P57" s="11" t="s">
        <v>641</v>
      </c>
      <c r="Q57" s="11" t="s">
        <v>623</v>
      </c>
      <c r="R57" s="11" t="s">
        <v>191</v>
      </c>
      <c r="S57" s="11" t="s">
        <v>39</v>
      </c>
      <c r="T57" s="11" t="s">
        <v>642</v>
      </c>
      <c r="U57" s="28" t="s">
        <v>643</v>
      </c>
    </row>
    <row r="58" spans="1:21" ht="96.6" customHeight="1">
      <c r="A58" s="11" t="s">
        <v>644</v>
      </c>
      <c r="B58" s="11" t="s">
        <v>645</v>
      </c>
      <c r="C58" s="11">
        <v>1</v>
      </c>
      <c r="D58" s="11" t="s">
        <v>25</v>
      </c>
      <c r="E58" s="11" t="s">
        <v>646</v>
      </c>
      <c r="F58" s="11" t="s">
        <v>647</v>
      </c>
      <c r="G58" s="11" t="s">
        <v>648</v>
      </c>
      <c r="H58" s="11" t="s">
        <v>29</v>
      </c>
      <c r="I58" s="16">
        <v>1</v>
      </c>
      <c r="J58" s="11" t="s">
        <v>649</v>
      </c>
      <c r="K58" s="11" t="s">
        <v>650</v>
      </c>
      <c r="L58" s="11" t="s">
        <v>651</v>
      </c>
      <c r="M58" s="11" t="s">
        <v>652</v>
      </c>
      <c r="N58" s="11" t="s">
        <v>653</v>
      </c>
      <c r="O58" s="11" t="s">
        <v>654</v>
      </c>
      <c r="P58" s="11" t="s">
        <v>115</v>
      </c>
      <c r="Q58" s="11" t="s">
        <v>635</v>
      </c>
      <c r="R58" s="11" t="s">
        <v>655</v>
      </c>
      <c r="S58" s="11" t="s">
        <v>39</v>
      </c>
      <c r="T58" s="11"/>
      <c r="U58" s="28" t="s">
        <v>657</v>
      </c>
    </row>
    <row r="59" spans="1:21" ht="409.6" customHeight="1">
      <c r="A59" s="11" t="s">
        <v>658</v>
      </c>
      <c r="B59" s="11" t="s">
        <v>645</v>
      </c>
      <c r="C59" s="11">
        <v>2</v>
      </c>
      <c r="D59" s="11" t="s">
        <v>25</v>
      </c>
      <c r="E59" s="11" t="s">
        <v>659</v>
      </c>
      <c r="F59" s="11" t="s">
        <v>660</v>
      </c>
      <c r="G59" s="11" t="s">
        <v>661</v>
      </c>
      <c r="H59" s="11" t="s">
        <v>60</v>
      </c>
      <c r="I59" s="16">
        <v>1.25</v>
      </c>
      <c r="J59" s="11" t="s">
        <v>662</v>
      </c>
      <c r="K59" s="11" t="s">
        <v>663</v>
      </c>
      <c r="L59" s="11" t="s">
        <v>664</v>
      </c>
      <c r="M59" s="11" t="s">
        <v>665</v>
      </c>
      <c r="N59" s="11" t="s">
        <v>666</v>
      </c>
      <c r="O59" s="11" t="s">
        <v>667</v>
      </c>
      <c r="P59" s="11" t="s">
        <v>139</v>
      </c>
      <c r="Q59" s="11" t="s">
        <v>644</v>
      </c>
      <c r="R59" s="11" t="s">
        <v>668</v>
      </c>
      <c r="S59" s="11" t="s">
        <v>39</v>
      </c>
      <c r="T59" s="11" t="s">
        <v>669</v>
      </c>
      <c r="U59" s="28" t="s">
        <v>670</v>
      </c>
    </row>
    <row r="60" spans="1:21" ht="193.8" customHeight="1">
      <c r="A60" s="11" t="s">
        <v>671</v>
      </c>
      <c r="B60" s="11" t="s">
        <v>645</v>
      </c>
      <c r="C60" s="11">
        <v>3</v>
      </c>
      <c r="D60" s="11" t="s">
        <v>25</v>
      </c>
      <c r="E60" s="11" t="s">
        <v>672</v>
      </c>
      <c r="F60" s="11" t="s">
        <v>673</v>
      </c>
      <c r="G60" s="11" t="s">
        <v>674</v>
      </c>
      <c r="H60" s="11" t="s">
        <v>60</v>
      </c>
      <c r="I60" s="16">
        <v>1.25</v>
      </c>
      <c r="J60" s="11" t="s">
        <v>662</v>
      </c>
      <c r="K60" s="11" t="s">
        <v>675</v>
      </c>
      <c r="L60" s="11" t="s">
        <v>676</v>
      </c>
      <c r="M60" s="11" t="s">
        <v>677</v>
      </c>
      <c r="N60" s="11" t="s">
        <v>678</v>
      </c>
      <c r="O60" s="11" t="s">
        <v>679</v>
      </c>
      <c r="P60" s="11" t="s">
        <v>680</v>
      </c>
      <c r="Q60" s="11" t="s">
        <v>681</v>
      </c>
      <c r="R60" s="11" t="s">
        <v>682</v>
      </c>
      <c r="S60" s="11" t="s">
        <v>39</v>
      </c>
      <c r="T60" s="11"/>
      <c r="U60" s="28" t="s">
        <v>683</v>
      </c>
    </row>
    <row r="61" spans="1:21" ht="193.8" customHeight="1">
      <c r="A61" s="11" t="s">
        <v>684</v>
      </c>
      <c r="B61" s="11" t="s">
        <v>645</v>
      </c>
      <c r="C61" s="11">
        <v>4</v>
      </c>
      <c r="D61" s="11" t="s">
        <v>25</v>
      </c>
      <c r="E61" s="11" t="s">
        <v>685</v>
      </c>
      <c r="F61" s="11" t="s">
        <v>686</v>
      </c>
      <c r="G61" s="11" t="s">
        <v>687</v>
      </c>
      <c r="H61" s="11" t="s">
        <v>60</v>
      </c>
      <c r="I61" s="16">
        <v>1.25</v>
      </c>
      <c r="J61" s="11" t="s">
        <v>662</v>
      </c>
      <c r="K61" s="11" t="s">
        <v>688</v>
      </c>
      <c r="L61" s="11" t="s">
        <v>689</v>
      </c>
      <c r="M61" s="11" t="s">
        <v>690</v>
      </c>
      <c r="N61" s="11" t="s">
        <v>691</v>
      </c>
      <c r="O61" s="11" t="s">
        <v>692</v>
      </c>
      <c r="P61" s="11" t="s">
        <v>693</v>
      </c>
      <c r="Q61" s="11" t="s">
        <v>644</v>
      </c>
      <c r="R61" s="11" t="s">
        <v>694</v>
      </c>
      <c r="S61" s="11" t="s">
        <v>39</v>
      </c>
      <c r="T61" s="11"/>
      <c r="U61" s="28" t="s">
        <v>695</v>
      </c>
    </row>
    <row r="62" spans="1:21" ht="110.4" customHeight="1">
      <c r="A62" s="11" t="s">
        <v>696</v>
      </c>
      <c r="B62" s="11" t="s">
        <v>645</v>
      </c>
      <c r="C62" s="11">
        <v>5</v>
      </c>
      <c r="D62" s="11" t="s">
        <v>25</v>
      </c>
      <c r="E62" s="11" t="s">
        <v>697</v>
      </c>
      <c r="F62" s="11" t="s">
        <v>698</v>
      </c>
      <c r="G62" s="11" t="s">
        <v>699</v>
      </c>
      <c r="H62" s="11" t="s">
        <v>60</v>
      </c>
      <c r="I62" s="16">
        <v>1.5</v>
      </c>
      <c r="J62" s="11" t="s">
        <v>662</v>
      </c>
      <c r="K62" s="11" t="s">
        <v>700</v>
      </c>
      <c r="L62" s="11" t="s">
        <v>701</v>
      </c>
      <c r="M62" s="11" t="s">
        <v>702</v>
      </c>
      <c r="N62" s="11" t="s">
        <v>703</v>
      </c>
      <c r="O62" s="11" t="s">
        <v>704</v>
      </c>
      <c r="P62" s="11" t="s">
        <v>705</v>
      </c>
      <c r="Q62" s="11" t="s">
        <v>706</v>
      </c>
      <c r="R62" s="11" t="s">
        <v>707</v>
      </c>
      <c r="S62" s="11" t="s">
        <v>39</v>
      </c>
      <c r="T62" s="11"/>
      <c r="U62" s="28" t="s">
        <v>708</v>
      </c>
    </row>
    <row r="63" spans="1:21" ht="193.8" customHeight="1">
      <c r="A63" s="11" t="s">
        <v>709</v>
      </c>
      <c r="B63" s="11" t="s">
        <v>645</v>
      </c>
      <c r="C63" s="11">
        <v>6</v>
      </c>
      <c r="D63" s="11" t="s">
        <v>25</v>
      </c>
      <c r="E63" s="11" t="s">
        <v>710</v>
      </c>
      <c r="F63" s="11" t="s">
        <v>711</v>
      </c>
      <c r="G63" s="11" t="s">
        <v>712</v>
      </c>
      <c r="H63" s="11" t="s">
        <v>60</v>
      </c>
      <c r="I63" s="16">
        <v>1</v>
      </c>
      <c r="J63" s="11" t="s">
        <v>713</v>
      </c>
      <c r="K63" s="11" t="s">
        <v>714</v>
      </c>
      <c r="L63" s="11" t="s">
        <v>715</v>
      </c>
      <c r="M63" s="11" t="s">
        <v>716</v>
      </c>
      <c r="N63" s="11" t="s">
        <v>717</v>
      </c>
      <c r="O63" s="11" t="s">
        <v>718</v>
      </c>
      <c r="P63" s="11" t="s">
        <v>719</v>
      </c>
      <c r="Q63" s="11" t="s">
        <v>720</v>
      </c>
      <c r="R63" s="11" t="s">
        <v>721</v>
      </c>
      <c r="S63" s="11" t="s">
        <v>39</v>
      </c>
      <c r="T63" s="11"/>
      <c r="U63" s="28" t="s">
        <v>722</v>
      </c>
    </row>
    <row r="64" spans="1:21" ht="110.4" customHeight="1">
      <c r="A64" s="11" t="s">
        <v>723</v>
      </c>
      <c r="B64" s="11" t="s">
        <v>645</v>
      </c>
      <c r="C64" s="11">
        <v>7</v>
      </c>
      <c r="D64" s="11" t="s">
        <v>25</v>
      </c>
      <c r="E64" s="11" t="s">
        <v>724</v>
      </c>
      <c r="F64" s="11" t="s">
        <v>725</v>
      </c>
      <c r="G64" s="11" t="s">
        <v>726</v>
      </c>
      <c r="H64" s="11" t="s">
        <v>60</v>
      </c>
      <c r="I64" s="16">
        <v>1.5</v>
      </c>
      <c r="J64" s="11" t="s">
        <v>727</v>
      </c>
      <c r="K64" s="11" t="s">
        <v>728</v>
      </c>
      <c r="L64" s="11" t="s">
        <v>729</v>
      </c>
      <c r="M64" s="11" t="s">
        <v>730</v>
      </c>
      <c r="N64" s="11" t="s">
        <v>731</v>
      </c>
      <c r="O64" s="11" t="s">
        <v>732</v>
      </c>
      <c r="P64" s="11" t="s">
        <v>115</v>
      </c>
      <c r="Q64" s="11" t="s">
        <v>733</v>
      </c>
      <c r="R64" s="11" t="s">
        <v>734</v>
      </c>
      <c r="S64" s="11" t="s">
        <v>39</v>
      </c>
      <c r="T64" s="11"/>
      <c r="U64" s="28" t="s">
        <v>735</v>
      </c>
    </row>
    <row r="65" spans="1:21" ht="193.8" customHeight="1">
      <c r="A65" s="11" t="s">
        <v>736</v>
      </c>
      <c r="B65" s="11" t="s">
        <v>645</v>
      </c>
      <c r="C65" s="11">
        <v>8</v>
      </c>
      <c r="D65" s="11" t="s">
        <v>25</v>
      </c>
      <c r="E65" s="11" t="s">
        <v>737</v>
      </c>
      <c r="F65" s="11" t="s">
        <v>738</v>
      </c>
      <c r="G65" s="11" t="s">
        <v>739</v>
      </c>
      <c r="H65" s="11" t="s">
        <v>60</v>
      </c>
      <c r="I65" s="16">
        <v>1</v>
      </c>
      <c r="J65" s="11" t="s">
        <v>727</v>
      </c>
      <c r="K65" s="11" t="s">
        <v>37</v>
      </c>
      <c r="L65" s="11" t="s">
        <v>740</v>
      </c>
      <c r="M65" s="11" t="s">
        <v>741</v>
      </c>
      <c r="N65" s="11" t="s">
        <v>742</v>
      </c>
      <c r="O65" s="11" t="s">
        <v>743</v>
      </c>
      <c r="P65" s="11" t="s">
        <v>103</v>
      </c>
      <c r="Q65" s="11" t="s">
        <v>723</v>
      </c>
      <c r="R65" s="11" t="s">
        <v>744</v>
      </c>
      <c r="S65" s="11" t="s">
        <v>39</v>
      </c>
      <c r="T65" s="11"/>
      <c r="U65" s="28" t="s">
        <v>745</v>
      </c>
    </row>
    <row r="66" spans="1:21" ht="110.4" customHeight="1">
      <c r="A66" s="11" t="s">
        <v>746</v>
      </c>
      <c r="B66" s="11" t="s">
        <v>645</v>
      </c>
      <c r="C66" s="11">
        <v>9</v>
      </c>
      <c r="D66" s="11" t="s">
        <v>25</v>
      </c>
      <c r="E66" s="11" t="s">
        <v>747</v>
      </c>
      <c r="F66" s="11" t="s">
        <v>748</v>
      </c>
      <c r="G66" s="11" t="s">
        <v>749</v>
      </c>
      <c r="H66" s="11" t="s">
        <v>46</v>
      </c>
      <c r="I66" s="16">
        <v>1</v>
      </c>
      <c r="J66" s="11" t="s">
        <v>750</v>
      </c>
      <c r="K66" s="11" t="s">
        <v>558</v>
      </c>
      <c r="L66" s="11" t="s">
        <v>751</v>
      </c>
      <c r="M66" s="11" t="s">
        <v>752</v>
      </c>
      <c r="N66" s="11" t="s">
        <v>753</v>
      </c>
      <c r="O66" s="11" t="s">
        <v>754</v>
      </c>
      <c r="P66" s="11" t="s">
        <v>115</v>
      </c>
      <c r="Q66" s="11" t="s">
        <v>755</v>
      </c>
      <c r="R66" s="11" t="s">
        <v>756</v>
      </c>
      <c r="S66" s="11" t="s">
        <v>39</v>
      </c>
      <c r="T66" s="11"/>
      <c r="U66" s="28" t="s">
        <v>757</v>
      </c>
    </row>
    <row r="67" spans="1:21" ht="124.2" customHeight="1">
      <c r="A67" s="11" t="s">
        <v>758</v>
      </c>
      <c r="B67" s="11" t="s">
        <v>645</v>
      </c>
      <c r="C67" s="11">
        <v>10</v>
      </c>
      <c r="D67" s="11" t="s">
        <v>25</v>
      </c>
      <c r="E67" s="11" t="s">
        <v>759</v>
      </c>
      <c r="F67" s="11" t="s">
        <v>760</v>
      </c>
      <c r="G67" s="11" t="s">
        <v>761</v>
      </c>
      <c r="H67" s="11" t="s">
        <v>29</v>
      </c>
      <c r="I67" s="16">
        <v>1.5</v>
      </c>
      <c r="J67" s="11" t="s">
        <v>750</v>
      </c>
      <c r="K67" s="11" t="s">
        <v>305</v>
      </c>
      <c r="L67" s="11" t="s">
        <v>762</v>
      </c>
      <c r="M67" s="11" t="s">
        <v>763</v>
      </c>
      <c r="N67" s="11" t="s">
        <v>764</v>
      </c>
      <c r="O67" s="11" t="s">
        <v>765</v>
      </c>
      <c r="P67" s="11" t="s">
        <v>474</v>
      </c>
      <c r="Q67" s="11" t="s">
        <v>746</v>
      </c>
      <c r="R67" s="11" t="s">
        <v>766</v>
      </c>
      <c r="S67" s="11" t="s">
        <v>39</v>
      </c>
      <c r="T67" s="11"/>
      <c r="U67" s="28" t="s">
        <v>767</v>
      </c>
    </row>
    <row r="68" spans="1:21" ht="110.4" customHeight="1">
      <c r="A68" s="11" t="s">
        <v>768</v>
      </c>
      <c r="B68" s="11" t="s">
        <v>645</v>
      </c>
      <c r="C68" s="11">
        <v>11</v>
      </c>
      <c r="D68" s="11" t="s">
        <v>25</v>
      </c>
      <c r="E68" s="11" t="s">
        <v>769</v>
      </c>
      <c r="F68" s="11" t="s">
        <v>770</v>
      </c>
      <c r="G68" s="11" t="s">
        <v>771</v>
      </c>
      <c r="H68" s="11" t="s">
        <v>46</v>
      </c>
      <c r="I68" s="16">
        <v>0.75</v>
      </c>
      <c r="J68" s="11" t="s">
        <v>750</v>
      </c>
      <c r="K68" s="11" t="s">
        <v>305</v>
      </c>
      <c r="L68" s="11" t="s">
        <v>772</v>
      </c>
      <c r="M68" s="11" t="s">
        <v>773</v>
      </c>
      <c r="N68" s="11" t="s">
        <v>774</v>
      </c>
      <c r="O68" s="11" t="s">
        <v>775</v>
      </c>
      <c r="P68" s="11" t="s">
        <v>776</v>
      </c>
      <c r="Q68" s="11" t="s">
        <v>758</v>
      </c>
      <c r="R68" s="11" t="s">
        <v>777</v>
      </c>
      <c r="S68" s="11" t="s">
        <v>39</v>
      </c>
      <c r="T68" s="11"/>
      <c r="U68" s="28" t="s">
        <v>778</v>
      </c>
    </row>
    <row r="69" spans="1:21" ht="193.8" customHeight="1">
      <c r="A69" s="11" t="s">
        <v>779</v>
      </c>
      <c r="B69" s="11" t="s">
        <v>645</v>
      </c>
      <c r="C69" s="11">
        <v>12</v>
      </c>
      <c r="D69" s="11" t="s">
        <v>25</v>
      </c>
      <c r="E69" s="11" t="s">
        <v>780</v>
      </c>
      <c r="F69" s="11" t="s">
        <v>781</v>
      </c>
      <c r="G69" s="11" t="s">
        <v>782</v>
      </c>
      <c r="H69" s="11" t="s">
        <v>46</v>
      </c>
      <c r="I69" s="16">
        <v>1</v>
      </c>
      <c r="J69" s="11" t="s">
        <v>750</v>
      </c>
      <c r="K69" s="11" t="s">
        <v>159</v>
      </c>
      <c r="L69" s="11" t="s">
        <v>783</v>
      </c>
      <c r="M69" s="11" t="s">
        <v>784</v>
      </c>
      <c r="N69" s="11" t="s">
        <v>785</v>
      </c>
      <c r="O69" s="11" t="s">
        <v>786</v>
      </c>
      <c r="P69" s="11" t="s">
        <v>164</v>
      </c>
      <c r="Q69" s="11" t="s">
        <v>768</v>
      </c>
      <c r="R69" s="11" t="s">
        <v>787</v>
      </c>
      <c r="S69" s="11" t="s">
        <v>39</v>
      </c>
      <c r="T69" s="11"/>
      <c r="U69" s="28" t="s">
        <v>788</v>
      </c>
    </row>
    <row r="70" spans="1:21" ht="96.6" customHeight="1">
      <c r="A70" s="11" t="s">
        <v>789</v>
      </c>
      <c r="B70" s="11" t="s">
        <v>645</v>
      </c>
      <c r="C70" s="11">
        <v>13</v>
      </c>
      <c r="D70" s="11" t="s">
        <v>25</v>
      </c>
      <c r="E70" s="11" t="s">
        <v>168</v>
      </c>
      <c r="F70" s="11" t="s">
        <v>790</v>
      </c>
      <c r="G70" s="11" t="s">
        <v>791</v>
      </c>
      <c r="H70" s="11" t="s">
        <v>29</v>
      </c>
      <c r="I70" s="16">
        <v>0.75</v>
      </c>
      <c r="J70" s="11" t="s">
        <v>792</v>
      </c>
      <c r="K70" s="11" t="s">
        <v>793</v>
      </c>
      <c r="L70" s="11" t="s">
        <v>794</v>
      </c>
      <c r="M70" s="11" t="s">
        <v>795</v>
      </c>
      <c r="N70" s="11" t="s">
        <v>796</v>
      </c>
      <c r="O70" s="11" t="s">
        <v>797</v>
      </c>
      <c r="P70" s="11" t="s">
        <v>52</v>
      </c>
      <c r="Q70" s="11" t="s">
        <v>798</v>
      </c>
      <c r="R70" s="11" t="s">
        <v>799</v>
      </c>
      <c r="S70" s="11" t="s">
        <v>39</v>
      </c>
      <c r="T70" s="11"/>
      <c r="U70" s="28" t="s">
        <v>801</v>
      </c>
    </row>
    <row r="71" spans="1:21" ht="69" customHeight="1">
      <c r="A71" s="11" t="s">
        <v>802</v>
      </c>
      <c r="B71" s="11" t="s">
        <v>645</v>
      </c>
      <c r="C71" s="11">
        <v>14</v>
      </c>
      <c r="D71" s="11" t="s">
        <v>25</v>
      </c>
      <c r="E71" s="11" t="s">
        <v>182</v>
      </c>
      <c r="F71" s="11" t="s">
        <v>803</v>
      </c>
      <c r="G71" s="11" t="s">
        <v>804</v>
      </c>
      <c r="H71" s="11" t="s">
        <v>46</v>
      </c>
      <c r="I71" s="16">
        <v>1</v>
      </c>
      <c r="J71" s="11" t="s">
        <v>185</v>
      </c>
      <c r="K71" s="11" t="s">
        <v>37</v>
      </c>
      <c r="L71" s="11" t="s">
        <v>805</v>
      </c>
      <c r="M71" s="11" t="s">
        <v>806</v>
      </c>
      <c r="N71" s="11" t="s">
        <v>188</v>
      </c>
      <c r="O71" s="11" t="s">
        <v>807</v>
      </c>
      <c r="P71" s="11" t="s">
        <v>808</v>
      </c>
      <c r="Q71" s="11" t="s">
        <v>789</v>
      </c>
      <c r="R71" s="11" t="s">
        <v>191</v>
      </c>
      <c r="S71" s="11" t="s">
        <v>39</v>
      </c>
      <c r="T71" s="11" t="s">
        <v>809</v>
      </c>
      <c r="U71" s="28" t="s">
        <v>810</v>
      </c>
    </row>
    <row r="72" spans="1:21" ht="110.4" hidden="1" customHeight="1">
      <c r="A72" s="11" t="s">
        <v>811</v>
      </c>
      <c r="B72" s="11" t="s">
        <v>812</v>
      </c>
      <c r="C72" s="11">
        <v>1</v>
      </c>
      <c r="D72" s="11" t="s">
        <v>25</v>
      </c>
      <c r="E72" s="11" t="s">
        <v>813</v>
      </c>
      <c r="F72" s="11" t="s">
        <v>814</v>
      </c>
      <c r="G72" s="11" t="s">
        <v>815</v>
      </c>
      <c r="H72" s="11" t="s">
        <v>46</v>
      </c>
      <c r="I72" s="16">
        <v>0.75</v>
      </c>
      <c r="J72" s="11" t="s">
        <v>727</v>
      </c>
      <c r="K72" s="11" t="s">
        <v>816</v>
      </c>
      <c r="L72" s="11" t="s">
        <v>817</v>
      </c>
      <c r="M72" s="11" t="s">
        <v>818</v>
      </c>
      <c r="N72" s="11" t="s">
        <v>819</v>
      </c>
      <c r="O72" s="11" t="s">
        <v>820</v>
      </c>
      <c r="P72" s="11" t="s">
        <v>821</v>
      </c>
      <c r="Q72" s="11" t="s">
        <v>802</v>
      </c>
      <c r="R72" s="11" t="s">
        <v>822</v>
      </c>
      <c r="S72" s="11" t="s">
        <v>800</v>
      </c>
      <c r="T72" s="11"/>
      <c r="U72" s="28" t="s">
        <v>823</v>
      </c>
    </row>
    <row r="73" spans="1:21" ht="110.4" hidden="1" customHeight="1">
      <c r="A73" s="11" t="s">
        <v>824</v>
      </c>
      <c r="B73" s="11" t="s">
        <v>812</v>
      </c>
      <c r="C73" s="11">
        <v>2</v>
      </c>
      <c r="D73" s="11" t="s">
        <v>25</v>
      </c>
      <c r="E73" s="11" t="s">
        <v>825</v>
      </c>
      <c r="F73" s="11" t="s">
        <v>826</v>
      </c>
      <c r="G73" s="11" t="s">
        <v>827</v>
      </c>
      <c r="H73" s="11" t="s">
        <v>60</v>
      </c>
      <c r="I73" s="16">
        <v>1.5</v>
      </c>
      <c r="J73" s="11" t="s">
        <v>828</v>
      </c>
      <c r="K73" s="11" t="s">
        <v>816</v>
      </c>
      <c r="L73" s="11" t="s">
        <v>829</v>
      </c>
      <c r="M73" s="11" t="s">
        <v>830</v>
      </c>
      <c r="N73" s="11" t="s">
        <v>831</v>
      </c>
      <c r="O73" s="11" t="s">
        <v>832</v>
      </c>
      <c r="P73" s="11" t="s">
        <v>833</v>
      </c>
      <c r="Q73" s="11" t="s">
        <v>811</v>
      </c>
      <c r="R73" s="11" t="s">
        <v>834</v>
      </c>
      <c r="S73" s="11" t="s">
        <v>800</v>
      </c>
      <c r="T73" s="11"/>
      <c r="U73" s="28" t="s">
        <v>835</v>
      </c>
    </row>
    <row r="74" spans="1:21" ht="110.4" hidden="1" customHeight="1">
      <c r="A74" s="11" t="s">
        <v>836</v>
      </c>
      <c r="B74" s="11" t="s">
        <v>812</v>
      </c>
      <c r="C74" s="11">
        <v>3</v>
      </c>
      <c r="D74" s="11" t="s">
        <v>25</v>
      </c>
      <c r="E74" s="11" t="s">
        <v>837</v>
      </c>
      <c r="F74" s="11" t="s">
        <v>838</v>
      </c>
      <c r="G74" s="11" t="s">
        <v>839</v>
      </c>
      <c r="H74" s="11" t="s">
        <v>60</v>
      </c>
      <c r="I74" s="16">
        <v>1</v>
      </c>
      <c r="J74" s="11" t="s">
        <v>828</v>
      </c>
      <c r="K74" s="11" t="s">
        <v>840</v>
      </c>
      <c r="L74" s="11" t="s">
        <v>841</v>
      </c>
      <c r="M74" s="11" t="s">
        <v>842</v>
      </c>
      <c r="N74" s="11" t="s">
        <v>843</v>
      </c>
      <c r="O74" s="11" t="s">
        <v>844</v>
      </c>
      <c r="P74" s="11" t="s">
        <v>274</v>
      </c>
      <c r="Q74" s="11" t="s">
        <v>845</v>
      </c>
      <c r="R74" s="11" t="s">
        <v>846</v>
      </c>
      <c r="S74" s="11" t="s">
        <v>800</v>
      </c>
      <c r="T74" s="11"/>
      <c r="U74" s="28" t="s">
        <v>847</v>
      </c>
    </row>
    <row r="75" spans="1:21" ht="110.4" hidden="1" customHeight="1">
      <c r="A75" s="11" t="s">
        <v>848</v>
      </c>
      <c r="B75" s="11" t="s">
        <v>812</v>
      </c>
      <c r="C75" s="11">
        <v>4</v>
      </c>
      <c r="D75" s="11" t="s">
        <v>25</v>
      </c>
      <c r="E75" s="11" t="s">
        <v>849</v>
      </c>
      <c r="F75" s="11" t="s">
        <v>850</v>
      </c>
      <c r="G75" s="11" t="s">
        <v>851</v>
      </c>
      <c r="H75" s="11" t="s">
        <v>60</v>
      </c>
      <c r="I75" s="16">
        <v>1</v>
      </c>
      <c r="J75" s="11" t="s">
        <v>828</v>
      </c>
      <c r="K75" s="11" t="s">
        <v>852</v>
      </c>
      <c r="L75" s="11" t="s">
        <v>853</v>
      </c>
      <c r="M75" s="11" t="s">
        <v>854</v>
      </c>
      <c r="N75" s="11" t="s">
        <v>855</v>
      </c>
      <c r="O75" s="11" t="s">
        <v>856</v>
      </c>
      <c r="P75" s="11" t="s">
        <v>857</v>
      </c>
      <c r="Q75" s="11" t="s">
        <v>836</v>
      </c>
      <c r="R75" s="11" t="s">
        <v>858</v>
      </c>
      <c r="S75" s="11" t="s">
        <v>800</v>
      </c>
      <c r="T75" s="11"/>
      <c r="U75" s="28" t="s">
        <v>859</v>
      </c>
    </row>
    <row r="76" spans="1:21" ht="110.4" hidden="1" customHeight="1">
      <c r="A76" s="11" t="s">
        <v>860</v>
      </c>
      <c r="B76" s="11" t="s">
        <v>812</v>
      </c>
      <c r="C76" s="11">
        <v>5</v>
      </c>
      <c r="D76" s="11" t="s">
        <v>25</v>
      </c>
      <c r="E76" s="11" t="s">
        <v>861</v>
      </c>
      <c r="F76" s="11" t="s">
        <v>862</v>
      </c>
      <c r="G76" s="11" t="s">
        <v>863</v>
      </c>
      <c r="H76" s="11" t="s">
        <v>60</v>
      </c>
      <c r="I76" s="16">
        <v>1</v>
      </c>
      <c r="J76" s="11" t="s">
        <v>828</v>
      </c>
      <c r="K76" s="11" t="s">
        <v>458</v>
      </c>
      <c r="L76" s="11" t="s">
        <v>864</v>
      </c>
      <c r="M76" s="11" t="s">
        <v>830</v>
      </c>
      <c r="N76" s="11" t="s">
        <v>865</v>
      </c>
      <c r="O76" s="11" t="s">
        <v>866</v>
      </c>
      <c r="P76" s="11" t="s">
        <v>833</v>
      </c>
      <c r="Q76" s="11" t="s">
        <v>824</v>
      </c>
      <c r="R76" s="11" t="s">
        <v>867</v>
      </c>
      <c r="S76" s="11" t="s">
        <v>800</v>
      </c>
      <c r="T76" s="11"/>
      <c r="U76" s="28" t="s">
        <v>868</v>
      </c>
    </row>
    <row r="77" spans="1:21" ht="110.4" hidden="1" customHeight="1">
      <c r="A77" s="11" t="s">
        <v>869</v>
      </c>
      <c r="B77" s="11" t="s">
        <v>812</v>
      </c>
      <c r="C77" s="11">
        <v>6</v>
      </c>
      <c r="D77" s="11" t="s">
        <v>25</v>
      </c>
      <c r="E77" s="11" t="s">
        <v>870</v>
      </c>
      <c r="F77" s="11" t="s">
        <v>871</v>
      </c>
      <c r="G77" s="11" t="s">
        <v>872</v>
      </c>
      <c r="H77" s="11" t="s">
        <v>60</v>
      </c>
      <c r="I77" s="16">
        <v>1.25</v>
      </c>
      <c r="J77" s="11" t="s">
        <v>873</v>
      </c>
      <c r="K77" s="11" t="s">
        <v>446</v>
      </c>
      <c r="L77" s="11" t="s">
        <v>874</v>
      </c>
      <c r="M77" s="11" t="s">
        <v>581</v>
      </c>
      <c r="N77" s="11" t="s">
        <v>875</v>
      </c>
      <c r="O77" s="11" t="s">
        <v>876</v>
      </c>
      <c r="P77" s="11" t="s">
        <v>451</v>
      </c>
      <c r="Q77" s="11" t="s">
        <v>877</v>
      </c>
      <c r="R77" s="11" t="s">
        <v>878</v>
      </c>
      <c r="S77" s="11" t="s">
        <v>800</v>
      </c>
      <c r="T77" s="11"/>
      <c r="U77" s="28" t="s">
        <v>879</v>
      </c>
    </row>
    <row r="78" spans="1:21" ht="110.4" hidden="1" customHeight="1">
      <c r="A78" s="11" t="s">
        <v>880</v>
      </c>
      <c r="B78" s="11" t="s">
        <v>812</v>
      </c>
      <c r="C78" s="11">
        <v>7</v>
      </c>
      <c r="D78" s="11" t="s">
        <v>25</v>
      </c>
      <c r="E78" s="11" t="s">
        <v>881</v>
      </c>
      <c r="F78" s="11" t="s">
        <v>882</v>
      </c>
      <c r="G78" s="11" t="s">
        <v>883</v>
      </c>
      <c r="H78" s="11" t="s">
        <v>46</v>
      </c>
      <c r="I78" s="16">
        <v>1</v>
      </c>
      <c r="J78" s="11" t="s">
        <v>873</v>
      </c>
      <c r="K78" s="11" t="s">
        <v>884</v>
      </c>
      <c r="L78" s="11" t="s">
        <v>885</v>
      </c>
      <c r="M78" s="11" t="s">
        <v>886</v>
      </c>
      <c r="N78" s="11" t="s">
        <v>887</v>
      </c>
      <c r="O78" s="11" t="s">
        <v>888</v>
      </c>
      <c r="P78" s="11" t="s">
        <v>103</v>
      </c>
      <c r="Q78" s="11" t="s">
        <v>869</v>
      </c>
      <c r="R78" s="11" t="s">
        <v>889</v>
      </c>
      <c r="S78" s="11" t="s">
        <v>800</v>
      </c>
      <c r="T78" s="11"/>
      <c r="U78" s="28" t="s">
        <v>890</v>
      </c>
    </row>
    <row r="79" spans="1:21" ht="96.6" hidden="1" customHeight="1">
      <c r="A79" s="11" t="s">
        <v>891</v>
      </c>
      <c r="B79" s="11" t="s">
        <v>812</v>
      </c>
      <c r="C79" s="11">
        <v>8</v>
      </c>
      <c r="D79" s="11" t="s">
        <v>25</v>
      </c>
      <c r="E79" s="11" t="s">
        <v>892</v>
      </c>
      <c r="F79" s="11" t="s">
        <v>893</v>
      </c>
      <c r="G79" s="11" t="s">
        <v>894</v>
      </c>
      <c r="H79" s="11" t="s">
        <v>895</v>
      </c>
      <c r="I79" s="16">
        <v>1</v>
      </c>
      <c r="J79" s="11" t="s">
        <v>873</v>
      </c>
      <c r="K79" s="11" t="s">
        <v>446</v>
      </c>
      <c r="L79" s="11" t="s">
        <v>896</v>
      </c>
      <c r="M79" s="11" t="s">
        <v>897</v>
      </c>
      <c r="N79" s="11" t="s">
        <v>898</v>
      </c>
      <c r="O79" s="11" t="s">
        <v>899</v>
      </c>
      <c r="P79" s="11" t="s">
        <v>900</v>
      </c>
      <c r="Q79" s="11" t="s">
        <v>901</v>
      </c>
      <c r="R79" s="11" t="s">
        <v>902</v>
      </c>
      <c r="S79" s="11" t="s">
        <v>800</v>
      </c>
      <c r="T79" s="11"/>
      <c r="U79" s="28" t="s">
        <v>903</v>
      </c>
    </row>
    <row r="80" spans="1:21" ht="110.4" hidden="1" customHeight="1">
      <c r="A80" t="s">
        <v>904</v>
      </c>
      <c r="B80" t="s">
        <v>812</v>
      </c>
      <c r="C80">
        <v>9</v>
      </c>
      <c r="D80" t="s">
        <v>25</v>
      </c>
      <c r="E80" t="s">
        <v>905</v>
      </c>
      <c r="F80" t="s">
        <v>906</v>
      </c>
      <c r="G80" t="s">
        <v>907</v>
      </c>
      <c r="H80" t="s">
        <v>46</v>
      </c>
      <c r="I80">
        <v>1</v>
      </c>
      <c r="J80" t="s">
        <v>873</v>
      </c>
      <c r="K80" t="s">
        <v>908</v>
      </c>
      <c r="L80" t="s">
        <v>909</v>
      </c>
      <c r="M80" t="s">
        <v>910</v>
      </c>
      <c r="N80" t="s">
        <v>911</v>
      </c>
      <c r="O80" t="s">
        <v>912</v>
      </c>
      <c r="P80" t="s">
        <v>103</v>
      </c>
      <c r="Q80" t="s">
        <v>913</v>
      </c>
      <c r="R80" t="s">
        <v>914</v>
      </c>
      <c r="S80" t="s">
        <v>800</v>
      </c>
      <c r="U80" s="28" t="s">
        <v>915</v>
      </c>
    </row>
    <row r="81" spans="1:21" ht="110.4" hidden="1" customHeight="1">
      <c r="A81" t="s">
        <v>916</v>
      </c>
      <c r="B81" t="s">
        <v>812</v>
      </c>
      <c r="C81">
        <v>10</v>
      </c>
      <c r="D81" t="s">
        <v>25</v>
      </c>
      <c r="E81" t="s">
        <v>917</v>
      </c>
      <c r="F81" t="s">
        <v>918</v>
      </c>
      <c r="G81" t="s">
        <v>919</v>
      </c>
      <c r="H81" t="s">
        <v>46</v>
      </c>
      <c r="I81">
        <v>1.25</v>
      </c>
      <c r="J81" t="s">
        <v>920</v>
      </c>
      <c r="K81" t="s">
        <v>423</v>
      </c>
      <c r="L81" t="s">
        <v>921</v>
      </c>
      <c r="M81" t="s">
        <v>922</v>
      </c>
      <c r="N81" t="s">
        <v>923</v>
      </c>
      <c r="O81" t="s">
        <v>924</v>
      </c>
      <c r="P81" t="s">
        <v>103</v>
      </c>
      <c r="Q81" t="s">
        <v>925</v>
      </c>
      <c r="R81" t="s">
        <v>926</v>
      </c>
      <c r="S81" t="s">
        <v>800</v>
      </c>
      <c r="U81" s="28" t="s">
        <v>927</v>
      </c>
    </row>
    <row r="82" spans="1:21" ht="110.4" hidden="1" customHeight="1">
      <c r="A82" t="s">
        <v>928</v>
      </c>
      <c r="B82" t="s">
        <v>812</v>
      </c>
      <c r="C82">
        <v>11</v>
      </c>
      <c r="D82" t="s">
        <v>25</v>
      </c>
      <c r="E82" t="s">
        <v>929</v>
      </c>
      <c r="F82" t="s">
        <v>930</v>
      </c>
      <c r="G82" t="s">
        <v>931</v>
      </c>
      <c r="H82" t="s">
        <v>29</v>
      </c>
      <c r="I82">
        <v>0.75</v>
      </c>
      <c r="J82" t="s">
        <v>920</v>
      </c>
      <c r="K82" t="s">
        <v>305</v>
      </c>
      <c r="L82" t="s">
        <v>932</v>
      </c>
      <c r="M82" t="s">
        <v>933</v>
      </c>
      <c r="N82" t="s">
        <v>934</v>
      </c>
      <c r="O82" t="s">
        <v>935</v>
      </c>
      <c r="P82" t="s">
        <v>474</v>
      </c>
      <c r="Q82" t="s">
        <v>916</v>
      </c>
      <c r="R82" t="s">
        <v>936</v>
      </c>
      <c r="S82" t="s">
        <v>800</v>
      </c>
      <c r="U82" s="28" t="s">
        <v>937</v>
      </c>
    </row>
    <row r="83" spans="1:21" ht="110.4" hidden="1" customHeight="1">
      <c r="A83" t="s">
        <v>938</v>
      </c>
      <c r="B83" t="s">
        <v>812</v>
      </c>
      <c r="C83">
        <v>12</v>
      </c>
      <c r="D83" t="s">
        <v>25</v>
      </c>
      <c r="E83" t="s">
        <v>939</v>
      </c>
      <c r="F83" t="s">
        <v>940</v>
      </c>
      <c r="G83" t="s">
        <v>941</v>
      </c>
      <c r="H83" t="s">
        <v>29</v>
      </c>
      <c r="I83">
        <v>1.25</v>
      </c>
      <c r="J83" t="s">
        <v>750</v>
      </c>
      <c r="K83" t="s">
        <v>147</v>
      </c>
      <c r="L83" t="s">
        <v>942</v>
      </c>
      <c r="M83" t="s">
        <v>943</v>
      </c>
      <c r="N83" t="s">
        <v>944</v>
      </c>
      <c r="O83" t="s">
        <v>945</v>
      </c>
      <c r="P83" t="s">
        <v>946</v>
      </c>
      <c r="Q83" t="s">
        <v>928</v>
      </c>
      <c r="R83" t="s">
        <v>947</v>
      </c>
      <c r="S83" t="s">
        <v>800</v>
      </c>
      <c r="U83" s="28" t="s">
        <v>948</v>
      </c>
    </row>
    <row r="84" spans="1:21" ht="110.4" hidden="1" customHeight="1">
      <c r="A84" t="s">
        <v>949</v>
      </c>
      <c r="B84" t="s">
        <v>812</v>
      </c>
      <c r="C84">
        <v>13</v>
      </c>
      <c r="D84" t="s">
        <v>25</v>
      </c>
      <c r="E84" t="s">
        <v>950</v>
      </c>
      <c r="F84" t="s">
        <v>951</v>
      </c>
      <c r="G84" t="s">
        <v>952</v>
      </c>
      <c r="H84" t="s">
        <v>29</v>
      </c>
      <c r="I84">
        <v>1</v>
      </c>
      <c r="J84" t="s">
        <v>920</v>
      </c>
      <c r="K84" t="s">
        <v>37</v>
      </c>
      <c r="L84" t="s">
        <v>953</v>
      </c>
      <c r="M84" t="s">
        <v>954</v>
      </c>
      <c r="N84" t="s">
        <v>955</v>
      </c>
      <c r="O84" t="s">
        <v>956</v>
      </c>
      <c r="P84" t="s">
        <v>52</v>
      </c>
      <c r="Q84" t="s">
        <v>957</v>
      </c>
      <c r="R84" t="s">
        <v>958</v>
      </c>
      <c r="S84" t="s">
        <v>800</v>
      </c>
      <c r="U84" s="28" t="s">
        <v>959</v>
      </c>
    </row>
    <row r="85" spans="1:21" ht="69" hidden="1" customHeight="1">
      <c r="A85" t="s">
        <v>960</v>
      </c>
      <c r="B85" t="s">
        <v>812</v>
      </c>
      <c r="C85">
        <v>14</v>
      </c>
      <c r="D85" t="s">
        <v>25</v>
      </c>
      <c r="E85" t="s">
        <v>182</v>
      </c>
      <c r="F85" t="s">
        <v>961</v>
      </c>
      <c r="G85" t="s">
        <v>962</v>
      </c>
      <c r="H85" t="s">
        <v>46</v>
      </c>
      <c r="I85">
        <v>1.5</v>
      </c>
      <c r="J85" t="s">
        <v>185</v>
      </c>
      <c r="K85" t="s">
        <v>37</v>
      </c>
      <c r="L85" t="s">
        <v>963</v>
      </c>
      <c r="M85" t="s">
        <v>964</v>
      </c>
      <c r="N85" t="s">
        <v>965</v>
      </c>
      <c r="O85" t="s">
        <v>966</v>
      </c>
      <c r="P85" t="s">
        <v>967</v>
      </c>
      <c r="Q85" t="s">
        <v>949</v>
      </c>
      <c r="R85" t="s">
        <v>191</v>
      </c>
      <c r="S85" t="s">
        <v>800</v>
      </c>
      <c r="T85" t="s">
        <v>968</v>
      </c>
      <c r="U85" s="28" t="s">
        <v>969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1027</v>
      </c>
      <c r="B1" s="58"/>
      <c r="C1" s="58"/>
      <c r="D1" s="58"/>
      <c r="E1" s="58"/>
      <c r="F1" s="58"/>
      <c r="G1" s="58"/>
      <c r="H1" s="58"/>
      <c r="I1" s="58"/>
      <c r="J1" s="58"/>
      <c r="K1" s="58"/>
      <c r="L1" s="58"/>
      <c r="M1" s="58"/>
      <c r="N1" s="58"/>
      <c r="O1" s="58"/>
    </row>
    <row r="2" spans="1:16" ht="31.95" customHeight="1">
      <c r="A2" s="59" t="s">
        <v>1028</v>
      </c>
      <c r="B2" s="58"/>
      <c r="C2" s="58"/>
      <c r="D2" s="58"/>
      <c r="E2" s="58"/>
      <c r="F2" s="58"/>
      <c r="G2" s="58"/>
      <c r="H2" s="58"/>
      <c r="I2" s="58"/>
      <c r="J2" s="58"/>
      <c r="K2" s="58"/>
      <c r="L2" s="58"/>
      <c r="M2" s="58"/>
      <c r="N2" s="58"/>
      <c r="O2" s="58"/>
    </row>
    <row r="4" spans="1:16" ht="28.05" customHeight="1">
      <c r="A4" s="69" t="s">
        <v>1020</v>
      </c>
      <c r="B4" s="71"/>
      <c r="D4" s="69" t="s">
        <v>1014</v>
      </c>
      <c r="E4" s="71"/>
      <c r="G4" s="69" t="s">
        <v>1029</v>
      </c>
      <c r="H4" s="70"/>
      <c r="I4" s="70"/>
      <c r="J4" s="70"/>
      <c r="K4" s="70"/>
      <c r="L4" s="70"/>
      <c r="M4" s="70"/>
      <c r="N4" s="70"/>
      <c r="O4" s="71"/>
    </row>
    <row r="5" spans="1:16">
      <c r="A5" s="81">
        <f>IF(COUNTA(O10:O40)=0,0,COUNTIF(O10:O40,"Done")/COUNTA(A10:A40))</f>
        <v>0.56521739130434778</v>
      </c>
      <c r="B5" s="62"/>
      <c r="D5" s="82">
        <f>COUNTIF(O10:O40,"Blocked")</f>
        <v>0</v>
      </c>
      <c r="E5" s="62"/>
      <c r="G5" s="79" t="s">
        <v>1030</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96.6" customHeight="1">
      <c r="A10" s="10" t="s">
        <v>23</v>
      </c>
      <c r="B10" s="10">
        <v>1</v>
      </c>
      <c r="C10" s="10" t="s">
        <v>25</v>
      </c>
      <c r="D10" s="10" t="s">
        <v>26</v>
      </c>
      <c r="E10" s="10" t="s">
        <v>27</v>
      </c>
      <c r="F10" s="10" t="s">
        <v>28</v>
      </c>
      <c r="G10" s="10" t="s">
        <v>29</v>
      </c>
      <c r="H10" s="15">
        <v>1</v>
      </c>
      <c r="I10" s="10" t="s">
        <v>30</v>
      </c>
      <c r="J10" s="10" t="s">
        <v>31</v>
      </c>
      <c r="K10" s="10" t="s">
        <v>32</v>
      </c>
      <c r="L10" s="10" t="s">
        <v>33</v>
      </c>
      <c r="M10" s="10" t="s">
        <v>35</v>
      </c>
      <c r="N10" s="10" t="s">
        <v>38</v>
      </c>
      <c r="O10" s="10" t="s">
        <v>39</v>
      </c>
      <c r="P10" s="29" t="s">
        <v>41</v>
      </c>
    </row>
    <row r="11" spans="1:16" ht="96.6" customHeight="1">
      <c r="A11" s="11" t="s">
        <v>42</v>
      </c>
      <c r="B11" s="11">
        <v>2</v>
      </c>
      <c r="C11" s="11" t="s">
        <v>25</v>
      </c>
      <c r="D11" s="11" t="s">
        <v>43</v>
      </c>
      <c r="E11" s="11" t="s">
        <v>44</v>
      </c>
      <c r="F11" s="11" t="s">
        <v>45</v>
      </c>
      <c r="G11" s="11" t="s">
        <v>46</v>
      </c>
      <c r="H11" s="16">
        <v>0.5</v>
      </c>
      <c r="I11" s="11" t="s">
        <v>47</v>
      </c>
      <c r="J11" s="11" t="s">
        <v>37</v>
      </c>
      <c r="K11" s="11" t="s">
        <v>48</v>
      </c>
      <c r="L11" s="11" t="s">
        <v>49</v>
      </c>
      <c r="M11" s="11" t="s">
        <v>51</v>
      </c>
      <c r="N11" s="11" t="s">
        <v>53</v>
      </c>
      <c r="O11" s="11" t="s">
        <v>39</v>
      </c>
      <c r="P11" s="29" t="s">
        <v>55</v>
      </c>
    </row>
    <row r="12" spans="1:16" ht="110.4" customHeight="1">
      <c r="A12" s="11" t="s">
        <v>56</v>
      </c>
      <c r="B12" s="11">
        <v>3</v>
      </c>
      <c r="C12" s="11" t="s">
        <v>25</v>
      </c>
      <c r="D12" s="11" t="s">
        <v>57</v>
      </c>
      <c r="E12" s="11" t="s">
        <v>58</v>
      </c>
      <c r="F12" s="11" t="s">
        <v>59</v>
      </c>
      <c r="G12" s="11" t="s">
        <v>60</v>
      </c>
      <c r="H12" s="16">
        <v>1.5</v>
      </c>
      <c r="I12" s="11" t="s">
        <v>61</v>
      </c>
      <c r="J12" s="11" t="s">
        <v>62</v>
      </c>
      <c r="K12" s="11" t="s">
        <v>63</v>
      </c>
      <c r="L12" s="11" t="s">
        <v>64</v>
      </c>
      <c r="M12" s="11" t="s">
        <v>66</v>
      </c>
      <c r="N12" s="11" t="s">
        <v>67</v>
      </c>
      <c r="O12" s="11" t="s">
        <v>39</v>
      </c>
      <c r="P12" s="29" t="s">
        <v>69</v>
      </c>
    </row>
    <row r="13" spans="1:16" ht="110.4" customHeight="1">
      <c r="A13" s="11" t="s">
        <v>70</v>
      </c>
      <c r="B13" s="11">
        <v>4</v>
      </c>
      <c r="C13" s="11" t="s">
        <v>25</v>
      </c>
      <c r="D13" s="11" t="s">
        <v>71</v>
      </c>
      <c r="E13" s="11" t="s">
        <v>72</v>
      </c>
      <c r="F13" s="11" t="s">
        <v>73</v>
      </c>
      <c r="G13" s="11" t="s">
        <v>60</v>
      </c>
      <c r="H13" s="16">
        <v>1</v>
      </c>
      <c r="I13" s="11" t="s">
        <v>61</v>
      </c>
      <c r="J13" s="11" t="s">
        <v>74</v>
      </c>
      <c r="K13" s="11" t="s">
        <v>75</v>
      </c>
      <c r="L13" s="11" t="s">
        <v>76</v>
      </c>
      <c r="M13" s="11" t="s">
        <v>78</v>
      </c>
      <c r="N13" s="11" t="s">
        <v>79</v>
      </c>
      <c r="O13" s="11" t="s">
        <v>39</v>
      </c>
      <c r="P13" s="29" t="s">
        <v>80</v>
      </c>
    </row>
    <row r="14" spans="1:16" ht="193.8" customHeight="1">
      <c r="A14" s="11" t="s">
        <v>81</v>
      </c>
      <c r="B14" s="11">
        <v>5</v>
      </c>
      <c r="C14" s="11" t="s">
        <v>25</v>
      </c>
      <c r="D14" s="11" t="s">
        <v>82</v>
      </c>
      <c r="E14" s="11" t="s">
        <v>83</v>
      </c>
      <c r="F14" s="11" t="s">
        <v>84</v>
      </c>
      <c r="G14" s="11" t="s">
        <v>60</v>
      </c>
      <c r="H14" s="16">
        <v>1.5</v>
      </c>
      <c r="I14" s="11" t="s">
        <v>85</v>
      </c>
      <c r="J14" s="11" t="s">
        <v>86</v>
      </c>
      <c r="K14" s="11" t="s">
        <v>87</v>
      </c>
      <c r="L14" s="11" t="s">
        <v>88</v>
      </c>
      <c r="M14" s="11" t="s">
        <v>90</v>
      </c>
      <c r="N14" s="11" t="s">
        <v>92</v>
      </c>
      <c r="O14" s="11" t="s">
        <v>39</v>
      </c>
      <c r="P14" s="29" t="s">
        <v>93</v>
      </c>
    </row>
    <row r="15" spans="1:16" ht="110.4" customHeight="1">
      <c r="A15" s="11" t="s">
        <v>94</v>
      </c>
      <c r="B15" s="11">
        <v>6</v>
      </c>
      <c r="C15" s="11" t="s">
        <v>25</v>
      </c>
      <c r="D15" s="11" t="s">
        <v>95</v>
      </c>
      <c r="E15" s="11" t="s">
        <v>96</v>
      </c>
      <c r="F15" s="11" t="s">
        <v>97</v>
      </c>
      <c r="G15" s="11" t="s">
        <v>60</v>
      </c>
      <c r="H15" s="16">
        <v>1.25</v>
      </c>
      <c r="I15" s="11" t="s">
        <v>98</v>
      </c>
      <c r="J15" s="11" t="s">
        <v>37</v>
      </c>
      <c r="K15" s="11" t="s">
        <v>99</v>
      </c>
      <c r="L15" s="11" t="s">
        <v>100</v>
      </c>
      <c r="M15" s="11" t="s">
        <v>102</v>
      </c>
      <c r="N15" s="11" t="s">
        <v>105</v>
      </c>
      <c r="O15" s="11" t="s">
        <v>39</v>
      </c>
      <c r="P15" s="29" t="s">
        <v>106</v>
      </c>
    </row>
    <row r="16" spans="1:16" ht="193.8" customHeight="1">
      <c r="A16" s="11" t="s">
        <v>107</v>
      </c>
      <c r="B16" s="11">
        <v>7</v>
      </c>
      <c r="C16" s="11" t="s">
        <v>25</v>
      </c>
      <c r="D16" s="11" t="s">
        <v>108</v>
      </c>
      <c r="E16" s="11" t="s">
        <v>109</v>
      </c>
      <c r="F16" s="11" t="s">
        <v>110</v>
      </c>
      <c r="G16" s="11" t="s">
        <v>60</v>
      </c>
      <c r="H16" s="16">
        <v>1</v>
      </c>
      <c r="I16" s="11" t="s">
        <v>61</v>
      </c>
      <c r="J16" s="11" t="s">
        <v>37</v>
      </c>
      <c r="K16" s="11" t="s">
        <v>111</v>
      </c>
      <c r="L16" s="11" t="s">
        <v>112</v>
      </c>
      <c r="M16" s="11" t="s">
        <v>114</v>
      </c>
      <c r="N16" s="11" t="s">
        <v>116</v>
      </c>
      <c r="O16" s="11" t="s">
        <v>39</v>
      </c>
      <c r="P16" s="29" t="s">
        <v>117</v>
      </c>
    </row>
    <row r="17" spans="1:16" ht="110.4" customHeight="1">
      <c r="A17" s="11" t="s">
        <v>118</v>
      </c>
      <c r="B17" s="11">
        <v>8</v>
      </c>
      <c r="C17" s="11" t="s">
        <v>25</v>
      </c>
      <c r="D17" s="11" t="s">
        <v>119</v>
      </c>
      <c r="E17" s="11" t="s">
        <v>120</v>
      </c>
      <c r="F17" s="11" t="s">
        <v>121</v>
      </c>
      <c r="G17" s="11" t="s">
        <v>60</v>
      </c>
      <c r="H17" s="16">
        <v>1</v>
      </c>
      <c r="I17" s="11" t="s">
        <v>98</v>
      </c>
      <c r="J17" s="11" t="s">
        <v>122</v>
      </c>
      <c r="K17" s="11" t="s">
        <v>123</v>
      </c>
      <c r="L17" s="11" t="s">
        <v>124</v>
      </c>
      <c r="M17" s="11" t="s">
        <v>126</v>
      </c>
      <c r="N17" s="11" t="s">
        <v>127</v>
      </c>
      <c r="O17" s="11" t="s">
        <v>39</v>
      </c>
      <c r="P17" s="29" t="s">
        <v>128</v>
      </c>
    </row>
    <row r="18" spans="1:16" ht="205.2" customHeight="1">
      <c r="A18" s="11" t="s">
        <v>129</v>
      </c>
      <c r="B18" s="11">
        <v>9</v>
      </c>
      <c r="C18" s="11" t="s">
        <v>25</v>
      </c>
      <c r="D18" s="11" t="s">
        <v>130</v>
      </c>
      <c r="E18" s="11" t="s">
        <v>131</v>
      </c>
      <c r="F18" s="11" t="s">
        <v>132</v>
      </c>
      <c r="G18" s="11" t="s">
        <v>60</v>
      </c>
      <c r="H18" s="16">
        <v>1.25</v>
      </c>
      <c r="I18" s="11" t="s">
        <v>133</v>
      </c>
      <c r="J18" s="11" t="s">
        <v>134</v>
      </c>
      <c r="K18" s="11" t="s">
        <v>135</v>
      </c>
      <c r="L18" s="11" t="s">
        <v>136</v>
      </c>
      <c r="M18" s="11" t="s">
        <v>138</v>
      </c>
      <c r="N18" s="11" t="s">
        <v>140</v>
      </c>
      <c r="O18" s="11" t="s">
        <v>39</v>
      </c>
      <c r="P18" s="29" t="s">
        <v>142</v>
      </c>
    </row>
    <row r="19" spans="1:16" ht="193.8" customHeight="1">
      <c r="A19" s="11" t="s">
        <v>143</v>
      </c>
      <c r="B19" s="11">
        <v>10</v>
      </c>
      <c r="C19" s="11" t="s">
        <v>25</v>
      </c>
      <c r="D19" s="11" t="s">
        <v>144</v>
      </c>
      <c r="E19" s="11" t="s">
        <v>145</v>
      </c>
      <c r="F19" s="11" t="s">
        <v>146</v>
      </c>
      <c r="G19" s="11" t="s">
        <v>60</v>
      </c>
      <c r="H19" s="16">
        <v>1.5</v>
      </c>
      <c r="I19" s="11" t="s">
        <v>133</v>
      </c>
      <c r="J19" s="11" t="s">
        <v>147</v>
      </c>
      <c r="K19" s="11" t="s">
        <v>148</v>
      </c>
      <c r="L19" s="11" t="s">
        <v>149</v>
      </c>
      <c r="M19" s="11" t="s">
        <v>151</v>
      </c>
      <c r="N19" s="11" t="s">
        <v>153</v>
      </c>
      <c r="O19" s="11" t="s">
        <v>39</v>
      </c>
      <c r="P19" s="29" t="s">
        <v>154</v>
      </c>
    </row>
    <row r="20" spans="1:16" ht="110.4" customHeight="1">
      <c r="A20" s="11" t="s">
        <v>155</v>
      </c>
      <c r="B20" s="11">
        <v>11</v>
      </c>
      <c r="C20" s="11" t="s">
        <v>25</v>
      </c>
      <c r="D20" s="11" t="s">
        <v>156</v>
      </c>
      <c r="E20" s="11" t="s">
        <v>157</v>
      </c>
      <c r="F20" s="11" t="s">
        <v>158</v>
      </c>
      <c r="G20" s="11" t="s">
        <v>60</v>
      </c>
      <c r="H20" s="16">
        <v>1</v>
      </c>
      <c r="I20" s="11" t="s">
        <v>133</v>
      </c>
      <c r="J20" s="11" t="s">
        <v>159</v>
      </c>
      <c r="K20" s="11" t="s">
        <v>160</v>
      </c>
      <c r="L20" s="11" t="s">
        <v>161</v>
      </c>
      <c r="M20" s="11" t="s">
        <v>163</v>
      </c>
      <c r="N20" s="11" t="s">
        <v>165</v>
      </c>
      <c r="O20" s="11" t="s">
        <v>39</v>
      </c>
      <c r="P20" s="29" t="s">
        <v>166</v>
      </c>
    </row>
    <row r="21" spans="1:16" ht="193.8" customHeight="1">
      <c r="A21" s="11" t="s">
        <v>167</v>
      </c>
      <c r="B21" s="11">
        <v>12</v>
      </c>
      <c r="C21" s="11" t="s">
        <v>25</v>
      </c>
      <c r="D21" s="11" t="s">
        <v>168</v>
      </c>
      <c r="E21" s="11" t="s">
        <v>169</v>
      </c>
      <c r="F21" s="11" t="s">
        <v>170</v>
      </c>
      <c r="G21" s="11" t="s">
        <v>29</v>
      </c>
      <c r="H21" s="16">
        <v>1</v>
      </c>
      <c r="I21" s="11" t="s">
        <v>171</v>
      </c>
      <c r="J21" s="11" t="s">
        <v>172</v>
      </c>
      <c r="K21" s="11" t="s">
        <v>173</v>
      </c>
      <c r="L21" s="11" t="s">
        <v>174</v>
      </c>
      <c r="M21" s="11" t="s">
        <v>176</v>
      </c>
      <c r="N21" s="11" t="s">
        <v>178</v>
      </c>
      <c r="O21" s="11" t="s">
        <v>39</v>
      </c>
      <c r="P21" s="29" t="s">
        <v>180</v>
      </c>
    </row>
    <row r="22" spans="1:16" ht="82.8" customHeight="1">
      <c r="A22" t="s">
        <v>181</v>
      </c>
      <c r="B22">
        <v>13</v>
      </c>
      <c r="C22" t="s">
        <v>25</v>
      </c>
      <c r="D22" t="s">
        <v>182</v>
      </c>
      <c r="E22" t="s">
        <v>183</v>
      </c>
      <c r="F22" t="s">
        <v>184</v>
      </c>
      <c r="G22" t="s">
        <v>46</v>
      </c>
      <c r="H22">
        <v>1</v>
      </c>
      <c r="I22" t="s">
        <v>185</v>
      </c>
      <c r="J22" t="s">
        <v>37</v>
      </c>
      <c r="K22" t="s">
        <v>186</v>
      </c>
      <c r="L22" t="s">
        <v>187</v>
      </c>
      <c r="M22" t="s">
        <v>189</v>
      </c>
      <c r="N22" t="s">
        <v>191</v>
      </c>
      <c r="O22" s="11" t="s">
        <v>39</v>
      </c>
      <c r="P22" s="29" t="s">
        <v>193</v>
      </c>
    </row>
    <row r="23" spans="1:16" ht="24" customHeight="1">
      <c r="A23" s="80"/>
      <c r="B23" s="58"/>
      <c r="C23" s="58"/>
      <c r="D23" s="58"/>
      <c r="E23" s="58"/>
      <c r="F23" s="58"/>
      <c r="G23" s="58"/>
      <c r="H23" s="58"/>
      <c r="I23" s="58"/>
      <c r="J23" s="58"/>
      <c r="K23" s="58"/>
      <c r="L23" s="58"/>
      <c r="M23" s="58"/>
      <c r="N23" s="58"/>
      <c r="O23" s="58"/>
    </row>
    <row r="24" spans="1:16" ht="34.049999999999997" customHeight="1">
      <c r="A24" s="30" t="s">
        <v>1040</v>
      </c>
      <c r="B24" s="30"/>
      <c r="C24" s="30"/>
      <c r="D24" s="30"/>
      <c r="E24" s="30"/>
      <c r="F24" s="30"/>
      <c r="G24" s="30"/>
      <c r="H24" s="31"/>
      <c r="I24" s="31"/>
      <c r="J24" s="31"/>
      <c r="K24" s="31"/>
      <c r="L24" s="31"/>
      <c r="M24" s="31"/>
      <c r="N24" s="31"/>
      <c r="O24" s="31"/>
      <c r="P24" s="31"/>
    </row>
    <row r="25" spans="1:16" ht="48" customHeight="1">
      <c r="A25" s="33" t="s">
        <v>1041</v>
      </c>
      <c r="B25" s="33" t="s">
        <v>11</v>
      </c>
      <c r="C25" s="33" t="s">
        <v>1042</v>
      </c>
      <c r="D25" s="33" t="s">
        <v>1043</v>
      </c>
      <c r="E25" s="33" t="s">
        <v>1044</v>
      </c>
      <c r="F25" s="33" t="s">
        <v>1045</v>
      </c>
      <c r="G25" s="33" t="s">
        <v>1046</v>
      </c>
    </row>
    <row r="26" spans="1:16" ht="52.05" customHeight="1">
      <c r="A26" s="22">
        <v>1</v>
      </c>
      <c r="B26" s="22" t="s">
        <v>30</v>
      </c>
      <c r="C26" s="22" t="s">
        <v>1047</v>
      </c>
      <c r="D26" s="22" t="s">
        <v>1048</v>
      </c>
      <c r="E26" s="22" t="s">
        <v>1049</v>
      </c>
      <c r="F26" s="22" t="s">
        <v>1050</v>
      </c>
      <c r="G26" s="22" t="s">
        <v>1051</v>
      </c>
    </row>
    <row r="27" spans="1:16" ht="52.05" customHeight="1">
      <c r="A27" s="34">
        <v>2</v>
      </c>
      <c r="B27" s="34" t="s">
        <v>47</v>
      </c>
      <c r="C27" s="34" t="s">
        <v>1052</v>
      </c>
      <c r="D27" s="34" t="s">
        <v>1053</v>
      </c>
      <c r="E27" s="34" t="s">
        <v>1054</v>
      </c>
      <c r="F27" s="34" t="s">
        <v>1055</v>
      </c>
      <c r="G27" s="34" t="s">
        <v>1051</v>
      </c>
    </row>
    <row r="28" spans="1:16" ht="52.05" customHeight="1">
      <c r="A28" s="22">
        <v>3</v>
      </c>
      <c r="B28" s="22" t="s">
        <v>61</v>
      </c>
      <c r="C28" s="22" t="s">
        <v>1056</v>
      </c>
      <c r="D28" s="22" t="s">
        <v>1057</v>
      </c>
      <c r="E28" s="22" t="s">
        <v>1058</v>
      </c>
      <c r="F28" s="22" t="s">
        <v>1059</v>
      </c>
      <c r="G28" s="22" t="s">
        <v>1060</v>
      </c>
    </row>
    <row r="29" spans="1:16" ht="52.05" customHeight="1">
      <c r="A29" s="34">
        <v>4</v>
      </c>
      <c r="B29" s="34" t="s">
        <v>85</v>
      </c>
      <c r="C29" s="34" t="s">
        <v>1061</v>
      </c>
      <c r="D29" s="34" t="s">
        <v>1062</v>
      </c>
      <c r="E29" s="34" t="s">
        <v>1063</v>
      </c>
      <c r="F29" s="34" t="s">
        <v>1064</v>
      </c>
      <c r="G29" s="34" t="s">
        <v>1060</v>
      </c>
    </row>
    <row r="30" spans="1:16" ht="52.05" customHeight="1">
      <c r="A30" s="22">
        <v>5</v>
      </c>
      <c r="B30" s="22" t="s">
        <v>98</v>
      </c>
      <c r="C30" s="22" t="s">
        <v>1065</v>
      </c>
      <c r="D30" s="22" t="s">
        <v>1066</v>
      </c>
      <c r="E30" s="22" t="s">
        <v>1067</v>
      </c>
      <c r="F30" s="22" t="s">
        <v>1068</v>
      </c>
      <c r="G30" s="22" t="s">
        <v>1060</v>
      </c>
    </row>
    <row r="31" spans="1:16" ht="52.05" customHeight="1">
      <c r="A31" s="34">
        <v>6</v>
      </c>
      <c r="B31" s="34" t="s">
        <v>133</v>
      </c>
      <c r="C31" s="34" t="s">
        <v>1069</v>
      </c>
      <c r="D31" s="34" t="s">
        <v>1070</v>
      </c>
      <c r="E31" s="34" t="s">
        <v>1071</v>
      </c>
      <c r="F31" s="34" t="s">
        <v>1072</v>
      </c>
      <c r="G31" s="34" t="s">
        <v>1060</v>
      </c>
    </row>
    <row r="32" spans="1:16" ht="52.05" customHeight="1">
      <c r="A32" s="35">
        <v>7</v>
      </c>
      <c r="B32" s="35" t="s">
        <v>171</v>
      </c>
      <c r="C32" s="35" t="s">
        <v>1073</v>
      </c>
      <c r="D32" s="35" t="s">
        <v>1074</v>
      </c>
      <c r="E32" s="35" t="s">
        <v>1075</v>
      </c>
      <c r="F32" s="35" t="s">
        <v>176</v>
      </c>
      <c r="G32" s="35" t="s">
        <v>1051</v>
      </c>
    </row>
    <row r="33" spans="1:7" ht="52.05" customHeight="1">
      <c r="A33" s="35">
        <v>8</v>
      </c>
      <c r="B33" s="35" t="s">
        <v>185</v>
      </c>
      <c r="C33" s="35" t="s">
        <v>1076</v>
      </c>
      <c r="D33" s="35" t="s">
        <v>1077</v>
      </c>
      <c r="E33" s="35" t="s">
        <v>1078</v>
      </c>
      <c r="F33" s="35" t="s">
        <v>1079</v>
      </c>
      <c r="G33"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1081</v>
      </c>
      <c r="B1" s="58"/>
      <c r="C1" s="58"/>
      <c r="D1" s="58"/>
      <c r="E1" s="58"/>
      <c r="F1" s="58"/>
      <c r="G1" s="58"/>
      <c r="H1" s="58"/>
      <c r="I1" s="58"/>
      <c r="J1" s="58"/>
      <c r="K1" s="58"/>
      <c r="L1" s="58"/>
      <c r="M1" s="58"/>
      <c r="N1" s="58"/>
      <c r="O1" s="58"/>
    </row>
    <row r="2" spans="1:16" ht="31.95" customHeight="1">
      <c r="A2" s="59" t="s">
        <v>1082</v>
      </c>
      <c r="B2" s="58"/>
      <c r="C2" s="58"/>
      <c r="D2" s="58"/>
      <c r="E2" s="58"/>
      <c r="F2" s="58"/>
      <c r="G2" s="58"/>
      <c r="H2" s="58"/>
      <c r="I2" s="58"/>
      <c r="J2" s="58"/>
      <c r="K2" s="58"/>
      <c r="L2" s="58"/>
      <c r="M2" s="58"/>
      <c r="N2" s="58"/>
      <c r="O2" s="58"/>
    </row>
    <row r="4" spans="1:16" ht="28.05" customHeight="1">
      <c r="A4" s="69" t="s">
        <v>1020</v>
      </c>
      <c r="B4" s="71"/>
      <c r="D4" s="69" t="s">
        <v>1014</v>
      </c>
      <c r="E4" s="71"/>
      <c r="G4" s="69" t="s">
        <v>1029</v>
      </c>
      <c r="H4" s="70"/>
      <c r="I4" s="70"/>
      <c r="J4" s="70"/>
      <c r="K4" s="70"/>
      <c r="L4" s="70"/>
      <c r="M4" s="70"/>
      <c r="N4" s="70"/>
      <c r="O4" s="71"/>
    </row>
    <row r="5" spans="1:16">
      <c r="A5" s="81">
        <f>IF(COUNTA(O10:O40)=0,0,COUNTIF(O10:O40,"Done")/COUNTA(A10:A40))</f>
        <v>0.59090909090909094</v>
      </c>
      <c r="B5" s="62"/>
      <c r="D5" s="82">
        <f>COUNTIF(O10:O40,"Blocked")</f>
        <v>0</v>
      </c>
      <c r="E5" s="62"/>
      <c r="G5" s="79" t="s">
        <v>1083</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110.4" customHeight="1">
      <c r="A10" s="10" t="s">
        <v>194</v>
      </c>
      <c r="B10" s="10">
        <v>1</v>
      </c>
      <c r="C10" s="10" t="s">
        <v>25</v>
      </c>
      <c r="D10" s="10" t="s">
        <v>196</v>
      </c>
      <c r="E10" s="10" t="s">
        <v>197</v>
      </c>
      <c r="F10" s="10" t="s">
        <v>198</v>
      </c>
      <c r="G10" s="10" t="s">
        <v>60</v>
      </c>
      <c r="H10" s="15">
        <v>1</v>
      </c>
      <c r="I10" s="10" t="s">
        <v>199</v>
      </c>
      <c r="J10" s="10" t="s">
        <v>200</v>
      </c>
      <c r="K10" s="10" t="s">
        <v>201</v>
      </c>
      <c r="L10" s="10" t="s">
        <v>202</v>
      </c>
      <c r="M10" s="10" t="s">
        <v>204</v>
      </c>
      <c r="N10" s="10" t="s">
        <v>205</v>
      </c>
      <c r="O10" s="10" t="s">
        <v>39</v>
      </c>
      <c r="P10" s="29" t="s">
        <v>206</v>
      </c>
    </row>
    <row r="11" spans="1:16" ht="124.2" customHeight="1">
      <c r="A11" s="11" t="s">
        <v>207</v>
      </c>
      <c r="B11" s="11">
        <v>2</v>
      </c>
      <c r="C11" s="11" t="s">
        <v>25</v>
      </c>
      <c r="D11" s="11" t="s">
        <v>208</v>
      </c>
      <c r="E11" s="11" t="s">
        <v>209</v>
      </c>
      <c r="F11" s="11" t="s">
        <v>210</v>
      </c>
      <c r="G11" s="11" t="s">
        <v>60</v>
      </c>
      <c r="H11" s="16">
        <v>1.25</v>
      </c>
      <c r="I11" s="11" t="s">
        <v>199</v>
      </c>
      <c r="J11" s="11" t="s">
        <v>37</v>
      </c>
      <c r="K11" s="11" t="s">
        <v>211</v>
      </c>
      <c r="L11" s="11" t="s">
        <v>212</v>
      </c>
      <c r="M11" s="11" t="s">
        <v>214</v>
      </c>
      <c r="N11" s="11" t="s">
        <v>216</v>
      </c>
      <c r="O11" s="11" t="s">
        <v>39</v>
      </c>
      <c r="P11" s="29" t="s">
        <v>217</v>
      </c>
    </row>
    <row r="12" spans="1:16" ht="330.6" customHeight="1">
      <c r="A12" s="11" t="s">
        <v>218</v>
      </c>
      <c r="B12" s="11">
        <v>3</v>
      </c>
      <c r="C12" s="11" t="s">
        <v>25</v>
      </c>
      <c r="D12" s="11" t="s">
        <v>219</v>
      </c>
      <c r="E12" s="11" t="s">
        <v>220</v>
      </c>
      <c r="F12" s="11" t="s">
        <v>221</v>
      </c>
      <c r="G12" s="11" t="s">
        <v>60</v>
      </c>
      <c r="H12" s="16">
        <v>1</v>
      </c>
      <c r="I12" s="11" t="s">
        <v>199</v>
      </c>
      <c r="J12" s="11" t="s">
        <v>37</v>
      </c>
      <c r="K12" s="11" t="s">
        <v>222</v>
      </c>
      <c r="L12" s="11" t="s">
        <v>223</v>
      </c>
      <c r="M12" s="11" t="s">
        <v>225</v>
      </c>
      <c r="N12" s="11" t="s">
        <v>227</v>
      </c>
      <c r="O12" s="11" t="s">
        <v>39</v>
      </c>
      <c r="P12" s="29" t="s">
        <v>228</v>
      </c>
    </row>
    <row r="13" spans="1:16" ht="330.6" customHeight="1">
      <c r="A13" s="11" t="s">
        <v>229</v>
      </c>
      <c r="B13" s="11">
        <v>4</v>
      </c>
      <c r="C13" s="11" t="s">
        <v>25</v>
      </c>
      <c r="D13" s="11" t="s">
        <v>230</v>
      </c>
      <c r="E13" s="11" t="s">
        <v>231</v>
      </c>
      <c r="F13" s="11" t="s">
        <v>232</v>
      </c>
      <c r="G13" s="11" t="s">
        <v>60</v>
      </c>
      <c r="H13" s="16">
        <v>1.5</v>
      </c>
      <c r="I13" s="11" t="s">
        <v>199</v>
      </c>
      <c r="J13" s="11" t="s">
        <v>233</v>
      </c>
      <c r="K13" s="11" t="s">
        <v>234</v>
      </c>
      <c r="L13" s="11" t="s">
        <v>223</v>
      </c>
      <c r="M13" s="11" t="s">
        <v>236</v>
      </c>
      <c r="N13" s="11" t="s">
        <v>238</v>
      </c>
      <c r="O13" s="11" t="s">
        <v>39</v>
      </c>
      <c r="P13" s="29" t="s">
        <v>239</v>
      </c>
    </row>
    <row r="14" spans="1:16" ht="124.2" customHeight="1">
      <c r="A14" s="11" t="s">
        <v>240</v>
      </c>
      <c r="B14" s="11">
        <v>5</v>
      </c>
      <c r="C14" s="11" t="s">
        <v>25</v>
      </c>
      <c r="D14" s="11" t="s">
        <v>241</v>
      </c>
      <c r="E14" s="11" t="s">
        <v>242</v>
      </c>
      <c r="F14" s="11" t="s">
        <v>243</v>
      </c>
      <c r="G14" s="11" t="s">
        <v>60</v>
      </c>
      <c r="H14" s="16">
        <v>1.25</v>
      </c>
      <c r="I14" s="11" t="s">
        <v>244</v>
      </c>
      <c r="J14" s="11" t="s">
        <v>245</v>
      </c>
      <c r="K14" s="11" t="s">
        <v>246</v>
      </c>
      <c r="L14" s="11" t="s">
        <v>247</v>
      </c>
      <c r="M14" s="11" t="s">
        <v>249</v>
      </c>
      <c r="N14" s="11" t="s">
        <v>250</v>
      </c>
      <c r="O14" s="11" t="s">
        <v>39</v>
      </c>
      <c r="P14" s="29" t="s">
        <v>251</v>
      </c>
    </row>
    <row r="15" spans="1:16" ht="124.2" customHeight="1">
      <c r="A15" s="11" t="s">
        <v>252</v>
      </c>
      <c r="B15" s="11">
        <v>6</v>
      </c>
      <c r="C15" s="11" t="s">
        <v>25</v>
      </c>
      <c r="D15" s="11" t="s">
        <v>253</v>
      </c>
      <c r="E15" s="11" t="s">
        <v>254</v>
      </c>
      <c r="F15" s="11" t="s">
        <v>255</v>
      </c>
      <c r="G15" s="11" t="s">
        <v>60</v>
      </c>
      <c r="H15" s="16">
        <v>1.5</v>
      </c>
      <c r="I15" s="11" t="s">
        <v>256</v>
      </c>
      <c r="J15" s="11" t="s">
        <v>257</v>
      </c>
      <c r="K15" s="11" t="s">
        <v>258</v>
      </c>
      <c r="L15" s="11" t="s">
        <v>259</v>
      </c>
      <c r="M15" s="11" t="s">
        <v>261</v>
      </c>
      <c r="N15" s="11" t="s">
        <v>263</v>
      </c>
      <c r="O15" s="11" t="s">
        <v>39</v>
      </c>
      <c r="P15" s="29" t="s">
        <v>264</v>
      </c>
    </row>
    <row r="16" spans="1:16" ht="110.4" customHeight="1">
      <c r="A16" s="11" t="s">
        <v>265</v>
      </c>
      <c r="B16" s="11">
        <v>7</v>
      </c>
      <c r="C16" s="11" t="s">
        <v>25</v>
      </c>
      <c r="D16" s="11" t="s">
        <v>266</v>
      </c>
      <c r="E16" s="11" t="s">
        <v>267</v>
      </c>
      <c r="F16" s="11" t="s">
        <v>268</v>
      </c>
      <c r="G16" s="11" t="s">
        <v>60</v>
      </c>
      <c r="H16" s="16">
        <v>1</v>
      </c>
      <c r="I16" s="11" t="s">
        <v>256</v>
      </c>
      <c r="J16" s="11" t="s">
        <v>269</v>
      </c>
      <c r="K16" s="11" t="s">
        <v>270</v>
      </c>
      <c r="L16" s="11" t="s">
        <v>271</v>
      </c>
      <c r="M16" s="11" t="s">
        <v>273</v>
      </c>
      <c r="N16" s="11" t="s">
        <v>275</v>
      </c>
      <c r="O16" s="11" t="s">
        <v>39</v>
      </c>
      <c r="P16" s="29" t="s">
        <v>276</v>
      </c>
    </row>
    <row r="17" spans="1:16" ht="110.4" customHeight="1">
      <c r="A17" s="11" t="s">
        <v>277</v>
      </c>
      <c r="B17" s="11">
        <v>8</v>
      </c>
      <c r="C17" s="11" t="s">
        <v>25</v>
      </c>
      <c r="D17" s="11" t="s">
        <v>278</v>
      </c>
      <c r="E17" s="11" t="s">
        <v>279</v>
      </c>
      <c r="F17" s="11" t="s">
        <v>280</v>
      </c>
      <c r="G17" s="11" t="s">
        <v>60</v>
      </c>
      <c r="H17" s="16">
        <v>1</v>
      </c>
      <c r="I17" s="11" t="s">
        <v>199</v>
      </c>
      <c r="J17" s="11" t="s">
        <v>281</v>
      </c>
      <c r="K17" s="11" t="s">
        <v>282</v>
      </c>
      <c r="L17" s="11" t="s">
        <v>283</v>
      </c>
      <c r="M17" s="11" t="s">
        <v>285</v>
      </c>
      <c r="N17" s="11" t="s">
        <v>286</v>
      </c>
      <c r="O17" s="11" t="s">
        <v>39</v>
      </c>
      <c r="P17" s="29" t="s">
        <v>287</v>
      </c>
    </row>
    <row r="18" spans="1:16" ht="205.2" customHeight="1">
      <c r="A18" s="11" t="s">
        <v>288</v>
      </c>
      <c r="B18" s="11">
        <v>9</v>
      </c>
      <c r="C18" s="11" t="s">
        <v>25</v>
      </c>
      <c r="D18" s="11" t="s">
        <v>289</v>
      </c>
      <c r="E18" s="11" t="s">
        <v>290</v>
      </c>
      <c r="F18" s="11" t="s">
        <v>291</v>
      </c>
      <c r="G18" s="11" t="s">
        <v>46</v>
      </c>
      <c r="H18" s="16">
        <v>1</v>
      </c>
      <c r="I18" s="11" t="s">
        <v>292</v>
      </c>
      <c r="J18" s="11" t="s">
        <v>293</v>
      </c>
      <c r="K18" s="11" t="s">
        <v>294</v>
      </c>
      <c r="L18" s="11" t="s">
        <v>295</v>
      </c>
      <c r="M18" s="11" t="s">
        <v>297</v>
      </c>
      <c r="N18" s="11" t="s">
        <v>300</v>
      </c>
      <c r="O18" s="11" t="s">
        <v>39</v>
      </c>
      <c r="P18" s="29" t="s">
        <v>301</v>
      </c>
    </row>
    <row r="19" spans="1:16" ht="205.2" customHeight="1">
      <c r="A19" s="11" t="s">
        <v>302</v>
      </c>
      <c r="B19" s="11">
        <v>10</v>
      </c>
      <c r="C19" s="11" t="s">
        <v>25</v>
      </c>
      <c r="D19" s="11" t="s">
        <v>144</v>
      </c>
      <c r="E19" s="11" t="s">
        <v>303</v>
      </c>
      <c r="F19" s="11" t="s">
        <v>304</v>
      </c>
      <c r="G19" s="11" t="s">
        <v>46</v>
      </c>
      <c r="H19" s="16">
        <v>1</v>
      </c>
      <c r="I19" s="11" t="s">
        <v>292</v>
      </c>
      <c r="J19" s="11" t="s">
        <v>305</v>
      </c>
      <c r="K19" s="11" t="s">
        <v>306</v>
      </c>
      <c r="L19" s="11" t="s">
        <v>307</v>
      </c>
      <c r="M19" s="11" t="s">
        <v>309</v>
      </c>
      <c r="N19" s="11" t="s">
        <v>311</v>
      </c>
      <c r="O19" s="11" t="s">
        <v>39</v>
      </c>
      <c r="P19" s="29" t="s">
        <v>312</v>
      </c>
    </row>
    <row r="20" spans="1:16" ht="124.2" customHeight="1">
      <c r="A20" s="11" t="s">
        <v>313</v>
      </c>
      <c r="B20" s="11">
        <v>11</v>
      </c>
      <c r="C20" s="11" t="s">
        <v>314</v>
      </c>
      <c r="D20" s="11" t="s">
        <v>315</v>
      </c>
      <c r="E20" s="11" t="s">
        <v>316</v>
      </c>
      <c r="F20" s="11" t="s">
        <v>317</v>
      </c>
      <c r="G20" s="11" t="s">
        <v>29</v>
      </c>
      <c r="H20" s="16">
        <v>0.75</v>
      </c>
      <c r="I20" s="11" t="s">
        <v>318</v>
      </c>
      <c r="J20" s="11" t="s">
        <v>37</v>
      </c>
      <c r="K20" s="11" t="s">
        <v>319</v>
      </c>
      <c r="L20" s="11" t="s">
        <v>320</v>
      </c>
      <c r="M20" s="11" t="s">
        <v>322</v>
      </c>
      <c r="N20" s="11" t="s">
        <v>324</v>
      </c>
      <c r="O20" s="11" t="s">
        <v>39</v>
      </c>
      <c r="P20" s="29" t="s">
        <v>325</v>
      </c>
    </row>
    <row r="21" spans="1:16" ht="193.8" customHeight="1">
      <c r="A21" s="11" t="s">
        <v>326</v>
      </c>
      <c r="B21" s="11">
        <v>12</v>
      </c>
      <c r="C21" s="11" t="s">
        <v>25</v>
      </c>
      <c r="D21" s="11" t="s">
        <v>168</v>
      </c>
      <c r="E21" s="11" t="s">
        <v>327</v>
      </c>
      <c r="F21" s="11" t="s">
        <v>328</v>
      </c>
      <c r="G21" s="11" t="s">
        <v>29</v>
      </c>
      <c r="H21" s="16">
        <v>0.75</v>
      </c>
      <c r="I21" s="11" t="s">
        <v>329</v>
      </c>
      <c r="J21" s="11" t="s">
        <v>330</v>
      </c>
      <c r="K21" s="11" t="s">
        <v>331</v>
      </c>
      <c r="L21" s="11" t="s">
        <v>332</v>
      </c>
      <c r="M21" s="11" t="s">
        <v>334</v>
      </c>
      <c r="N21" s="11" t="s">
        <v>336</v>
      </c>
      <c r="O21" s="11" t="s">
        <v>39</v>
      </c>
      <c r="P21" s="29" t="s">
        <v>337</v>
      </c>
    </row>
    <row r="22" spans="1:16" ht="82.8" customHeight="1">
      <c r="A22" t="s">
        <v>338</v>
      </c>
      <c r="B22">
        <v>13</v>
      </c>
      <c r="C22" t="s">
        <v>25</v>
      </c>
      <c r="D22" t="s">
        <v>182</v>
      </c>
      <c r="E22" t="s">
        <v>339</v>
      </c>
      <c r="F22" t="s">
        <v>340</v>
      </c>
      <c r="G22" t="s">
        <v>46</v>
      </c>
      <c r="H22">
        <v>1</v>
      </c>
      <c r="I22" t="s">
        <v>185</v>
      </c>
      <c r="J22" t="s">
        <v>37</v>
      </c>
      <c r="K22" t="s">
        <v>341</v>
      </c>
      <c r="L22" t="s">
        <v>342</v>
      </c>
      <c r="M22" t="s">
        <v>343</v>
      </c>
      <c r="N22" t="s">
        <v>191</v>
      </c>
      <c r="O22" s="11" t="s">
        <v>39</v>
      </c>
      <c r="P22" s="29" t="s">
        <v>345</v>
      </c>
    </row>
    <row r="23" spans="1:16" ht="24" customHeight="1">
      <c r="A23" s="80"/>
      <c r="B23" s="58"/>
      <c r="C23" s="58"/>
      <c r="D23" s="58"/>
      <c r="E23" s="58"/>
      <c r="F23" s="58"/>
      <c r="G23" s="58"/>
      <c r="H23" s="58"/>
      <c r="I23" s="58"/>
      <c r="J23" s="58"/>
      <c r="K23" s="58"/>
      <c r="L23" s="58"/>
      <c r="M23" s="58"/>
      <c r="N23" s="58"/>
      <c r="O23" s="58"/>
    </row>
    <row r="24" spans="1:16" ht="34.049999999999997" customHeight="1">
      <c r="A24" s="30" t="s">
        <v>1040</v>
      </c>
      <c r="B24" s="30"/>
      <c r="C24" s="30"/>
      <c r="D24" s="30"/>
      <c r="E24" s="30"/>
      <c r="F24" s="30"/>
      <c r="G24" s="30"/>
      <c r="H24" s="31"/>
      <c r="I24" s="31"/>
      <c r="J24" s="31"/>
      <c r="K24" s="31"/>
      <c r="L24" s="31"/>
      <c r="M24" s="31"/>
      <c r="N24" s="31"/>
      <c r="O24" s="31"/>
      <c r="P24" s="31"/>
    </row>
    <row r="25" spans="1:16" ht="48" customHeight="1">
      <c r="A25" s="33" t="s">
        <v>1041</v>
      </c>
      <c r="B25" s="33" t="s">
        <v>11</v>
      </c>
      <c r="C25" s="33" t="s">
        <v>1042</v>
      </c>
      <c r="D25" s="33" t="s">
        <v>1043</v>
      </c>
      <c r="E25" s="33" t="s">
        <v>1044</v>
      </c>
      <c r="F25" s="33" t="s">
        <v>1045</v>
      </c>
      <c r="G25" s="33" t="s">
        <v>1046</v>
      </c>
    </row>
    <row r="26" spans="1:16" ht="52.05" customHeight="1">
      <c r="A26" s="22">
        <v>1</v>
      </c>
      <c r="B26" s="22" t="s">
        <v>199</v>
      </c>
      <c r="C26" s="22" t="s">
        <v>1084</v>
      </c>
      <c r="D26" s="22" t="s">
        <v>1085</v>
      </c>
      <c r="E26" s="22" t="s">
        <v>1086</v>
      </c>
      <c r="F26" s="22" t="s">
        <v>1087</v>
      </c>
      <c r="G26" s="22" t="s">
        <v>1060</v>
      </c>
    </row>
    <row r="27" spans="1:16" ht="52.05" customHeight="1">
      <c r="A27" s="34">
        <v>2</v>
      </c>
      <c r="B27" s="34" t="s">
        <v>244</v>
      </c>
      <c r="C27" s="34" t="s">
        <v>1088</v>
      </c>
      <c r="D27" s="34" t="s">
        <v>1089</v>
      </c>
      <c r="E27" s="34" t="s">
        <v>1090</v>
      </c>
      <c r="F27" s="34" t="s">
        <v>1091</v>
      </c>
      <c r="G27" s="34" t="s">
        <v>1060</v>
      </c>
    </row>
    <row r="28" spans="1:16" ht="52.05" customHeight="1">
      <c r="A28" s="22">
        <v>3</v>
      </c>
      <c r="B28" s="22" t="s">
        <v>256</v>
      </c>
      <c r="C28" s="22" t="s">
        <v>1092</v>
      </c>
      <c r="D28" s="22" t="s">
        <v>1093</v>
      </c>
      <c r="E28" s="22" t="s">
        <v>1094</v>
      </c>
      <c r="F28" s="22" t="s">
        <v>1095</v>
      </c>
      <c r="G28" s="22" t="s">
        <v>1060</v>
      </c>
    </row>
    <row r="29" spans="1:16" ht="52.05" customHeight="1">
      <c r="A29" s="34">
        <v>4</v>
      </c>
      <c r="B29" s="34" t="s">
        <v>292</v>
      </c>
      <c r="C29" s="34" t="s">
        <v>1096</v>
      </c>
      <c r="D29" s="34" t="s">
        <v>1097</v>
      </c>
      <c r="E29" s="34" t="s">
        <v>1098</v>
      </c>
      <c r="F29" s="34" t="s">
        <v>1099</v>
      </c>
      <c r="G29" s="34" t="s">
        <v>1060</v>
      </c>
    </row>
    <row r="30" spans="1:16" ht="52.05" customHeight="1">
      <c r="A30" s="22">
        <v>5</v>
      </c>
      <c r="B30" s="22" t="s">
        <v>318</v>
      </c>
      <c r="C30" s="22" t="s">
        <v>1100</v>
      </c>
      <c r="D30" s="22" t="s">
        <v>1101</v>
      </c>
      <c r="E30" s="22" t="s">
        <v>1102</v>
      </c>
      <c r="F30" s="22" t="s">
        <v>1103</v>
      </c>
      <c r="G30" s="22" t="s">
        <v>1104</v>
      </c>
    </row>
    <row r="31" spans="1:16" ht="52.05" customHeight="1">
      <c r="A31" s="35">
        <v>6</v>
      </c>
      <c r="B31" s="35" t="s">
        <v>329</v>
      </c>
      <c r="C31" s="35" t="s">
        <v>1073</v>
      </c>
      <c r="D31" s="35" t="s">
        <v>1074</v>
      </c>
      <c r="E31" s="35" t="s">
        <v>1105</v>
      </c>
      <c r="F31" s="35" t="s">
        <v>334</v>
      </c>
      <c r="G31" s="35" t="s">
        <v>1051</v>
      </c>
    </row>
    <row r="32" spans="1:16" ht="52.05" customHeight="1">
      <c r="A32" s="35">
        <v>7</v>
      </c>
      <c r="B32" s="35" t="s">
        <v>185</v>
      </c>
      <c r="C32" s="35" t="s">
        <v>1106</v>
      </c>
      <c r="D32" s="35" t="s">
        <v>1077</v>
      </c>
      <c r="E32" s="35" t="s">
        <v>1078</v>
      </c>
      <c r="F32" s="35" t="s">
        <v>1107</v>
      </c>
      <c r="G32"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customWidth="1"/>
    <col min="10" max="10" width="18" customWidth="1"/>
    <col min="11" max="11" width="36" customWidth="1"/>
    <col min="12" max="12" width="38" customWidth="1"/>
    <col min="13" max="13" width="31" customWidth="1"/>
    <col min="14" max="14" width="40.796875" customWidth="1"/>
    <col min="15" max="15" width="16" customWidth="1"/>
    <col min="16" max="16" width="52" style="27" customWidth="1"/>
  </cols>
  <sheetData>
    <row r="1" spans="1:16" ht="31.95" customHeight="1">
      <c r="A1" s="57" t="s">
        <v>1108</v>
      </c>
      <c r="B1" s="58"/>
      <c r="C1" s="58"/>
      <c r="D1" s="58"/>
      <c r="E1" s="58"/>
      <c r="F1" s="58"/>
      <c r="G1" s="58"/>
      <c r="H1" s="58"/>
      <c r="I1" s="58"/>
      <c r="J1" s="58"/>
      <c r="K1" s="58"/>
      <c r="L1" s="58"/>
      <c r="M1" s="58"/>
      <c r="N1" s="58"/>
      <c r="O1" s="58"/>
    </row>
    <row r="2" spans="1:16" ht="31.95" customHeight="1">
      <c r="A2" s="59" t="s">
        <v>1109</v>
      </c>
      <c r="B2" s="58"/>
      <c r="C2" s="58"/>
      <c r="D2" s="58"/>
      <c r="E2" s="58"/>
      <c r="F2" s="58"/>
      <c r="G2" s="58"/>
      <c r="H2" s="58"/>
      <c r="I2" s="58"/>
      <c r="J2" s="58"/>
      <c r="K2" s="58"/>
      <c r="L2" s="58"/>
      <c r="M2" s="58"/>
      <c r="N2" s="58"/>
      <c r="O2" s="58"/>
    </row>
    <row r="4" spans="1:16" ht="28.05" customHeight="1">
      <c r="A4" s="69" t="s">
        <v>1020</v>
      </c>
      <c r="B4" s="71"/>
      <c r="D4" s="69" t="s">
        <v>1014</v>
      </c>
      <c r="E4" s="71"/>
      <c r="G4" s="69" t="s">
        <v>1029</v>
      </c>
      <c r="H4" s="70"/>
      <c r="I4" s="70"/>
      <c r="J4" s="70"/>
      <c r="K4" s="70"/>
      <c r="L4" s="70"/>
      <c r="M4" s="70"/>
      <c r="N4" s="70"/>
      <c r="O4" s="71"/>
    </row>
    <row r="5" spans="1:16">
      <c r="A5" s="81">
        <f>IF(COUNTA(O10:O40)=0,0,COUNTIF(O10:O40,"Done")/COUNTA(A10:A40))</f>
        <v>0.5714285714285714</v>
      </c>
      <c r="B5" s="62"/>
      <c r="D5" s="82">
        <f>COUNTIF(O10:O40,"Blocked")</f>
        <v>0</v>
      </c>
      <c r="E5" s="62"/>
      <c r="G5" s="79" t="s">
        <v>1110</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8" t="s">
        <v>22</v>
      </c>
    </row>
    <row r="10" spans="1:16" ht="110.4" hidden="1" customHeight="1">
      <c r="A10" s="10" t="s">
        <v>346</v>
      </c>
      <c r="B10" s="10">
        <v>1</v>
      </c>
      <c r="C10" s="10" t="s">
        <v>25</v>
      </c>
      <c r="D10" s="10" t="s">
        <v>348</v>
      </c>
      <c r="E10" s="10" t="s">
        <v>349</v>
      </c>
      <c r="F10" s="10" t="s">
        <v>350</v>
      </c>
      <c r="G10" s="10" t="s">
        <v>60</v>
      </c>
      <c r="H10" s="15">
        <v>1</v>
      </c>
      <c r="I10" s="10" t="s">
        <v>351</v>
      </c>
      <c r="J10" s="10" t="s">
        <v>352</v>
      </c>
      <c r="K10" s="10" t="s">
        <v>353</v>
      </c>
      <c r="L10" s="10" t="s">
        <v>354</v>
      </c>
      <c r="M10" s="10" t="s">
        <v>356</v>
      </c>
      <c r="N10" s="10" t="s">
        <v>358</v>
      </c>
      <c r="O10" s="10" t="s">
        <v>39</v>
      </c>
      <c r="P10" s="28" t="s">
        <v>359</v>
      </c>
    </row>
    <row r="11" spans="1:16" ht="110.4" hidden="1" customHeight="1">
      <c r="A11" s="11" t="s">
        <v>360</v>
      </c>
      <c r="B11" s="11">
        <v>2</v>
      </c>
      <c r="C11" s="11" t="s">
        <v>25</v>
      </c>
      <c r="D11" s="11" t="s">
        <v>361</v>
      </c>
      <c r="E11" s="11" t="s">
        <v>362</v>
      </c>
      <c r="F11" s="11" t="s">
        <v>363</v>
      </c>
      <c r="G11" s="11" t="s">
        <v>60</v>
      </c>
      <c r="H11" s="16">
        <v>1.25</v>
      </c>
      <c r="I11" s="11" t="s">
        <v>351</v>
      </c>
      <c r="J11" s="11" t="s">
        <v>364</v>
      </c>
      <c r="K11" s="11" t="s">
        <v>365</v>
      </c>
      <c r="L11" s="11" t="s">
        <v>366</v>
      </c>
      <c r="M11" s="11" t="s">
        <v>368</v>
      </c>
      <c r="N11" s="11" t="s">
        <v>370</v>
      </c>
      <c r="O11" s="11" t="s">
        <v>39</v>
      </c>
      <c r="P11" s="28" t="s">
        <v>371</v>
      </c>
    </row>
    <row r="12" spans="1:16" ht="110.4" hidden="1" customHeight="1">
      <c r="A12" s="11" t="s">
        <v>372</v>
      </c>
      <c r="B12" s="11">
        <v>3</v>
      </c>
      <c r="C12" s="11" t="s">
        <v>25</v>
      </c>
      <c r="D12" s="11" t="s">
        <v>373</v>
      </c>
      <c r="E12" s="11" t="s">
        <v>374</v>
      </c>
      <c r="F12" s="11" t="s">
        <v>375</v>
      </c>
      <c r="G12" s="11" t="s">
        <v>60</v>
      </c>
      <c r="H12" s="16">
        <v>0.75</v>
      </c>
      <c r="I12" s="11" t="s">
        <v>351</v>
      </c>
      <c r="J12" s="11" t="s">
        <v>37</v>
      </c>
      <c r="K12" s="11" t="s">
        <v>376</v>
      </c>
      <c r="L12" s="11" t="s">
        <v>377</v>
      </c>
      <c r="M12" s="11" t="s">
        <v>379</v>
      </c>
      <c r="N12" s="11" t="s">
        <v>381</v>
      </c>
      <c r="O12" s="11" t="s">
        <v>39</v>
      </c>
      <c r="P12" s="28" t="s">
        <v>382</v>
      </c>
    </row>
    <row r="13" spans="1:16" ht="110.4" hidden="1" customHeight="1">
      <c r="A13" s="11" t="s">
        <v>383</v>
      </c>
      <c r="B13" s="11">
        <v>4</v>
      </c>
      <c r="C13" s="11" t="s">
        <v>25</v>
      </c>
      <c r="D13" s="11" t="s">
        <v>384</v>
      </c>
      <c r="E13" s="11" t="s">
        <v>385</v>
      </c>
      <c r="F13" s="11" t="s">
        <v>386</v>
      </c>
      <c r="G13" s="11" t="s">
        <v>60</v>
      </c>
      <c r="H13" s="16">
        <v>1.5</v>
      </c>
      <c r="I13" s="11" t="s">
        <v>351</v>
      </c>
      <c r="J13" s="11" t="s">
        <v>387</v>
      </c>
      <c r="K13" s="11" t="s">
        <v>388</v>
      </c>
      <c r="L13" s="11" t="s">
        <v>389</v>
      </c>
      <c r="M13" s="11" t="s">
        <v>391</v>
      </c>
      <c r="N13" s="11" t="s">
        <v>393</v>
      </c>
      <c r="O13" s="11" t="s">
        <v>39</v>
      </c>
      <c r="P13" s="28" t="s">
        <v>394</v>
      </c>
    </row>
    <row r="14" spans="1:16" ht="110.4" hidden="1" customHeight="1">
      <c r="A14" s="11" t="s">
        <v>395</v>
      </c>
      <c r="B14" s="11">
        <v>5</v>
      </c>
      <c r="C14" s="11" t="s">
        <v>25</v>
      </c>
      <c r="D14" s="11" t="s">
        <v>396</v>
      </c>
      <c r="E14" s="11" t="s">
        <v>397</v>
      </c>
      <c r="F14" s="11" t="s">
        <v>398</v>
      </c>
      <c r="G14" s="11" t="s">
        <v>60</v>
      </c>
      <c r="H14" s="16">
        <v>1</v>
      </c>
      <c r="I14" s="11" t="s">
        <v>399</v>
      </c>
      <c r="J14" s="11" t="s">
        <v>400</v>
      </c>
      <c r="K14" s="11" t="s">
        <v>401</v>
      </c>
      <c r="L14" s="11" t="s">
        <v>402</v>
      </c>
      <c r="M14" s="11" t="s">
        <v>404</v>
      </c>
      <c r="N14" s="11" t="s">
        <v>405</v>
      </c>
      <c r="O14" s="11" t="s">
        <v>39</v>
      </c>
      <c r="P14" s="28" t="s">
        <v>406</v>
      </c>
    </row>
    <row r="15" spans="1:16" ht="110.4" hidden="1" customHeight="1">
      <c r="A15" s="11" t="s">
        <v>407</v>
      </c>
      <c r="B15" s="11">
        <v>6</v>
      </c>
      <c r="C15" s="11" t="s">
        <v>25</v>
      </c>
      <c r="D15" s="11" t="s">
        <v>408</v>
      </c>
      <c r="E15" s="11" t="s">
        <v>409</v>
      </c>
      <c r="F15" s="11" t="s">
        <v>410</v>
      </c>
      <c r="G15" s="11" t="s">
        <v>29</v>
      </c>
      <c r="H15" s="16">
        <v>1.25</v>
      </c>
      <c r="I15" s="11" t="s">
        <v>411</v>
      </c>
      <c r="J15" s="11" t="s">
        <v>412</v>
      </c>
      <c r="K15" s="11" t="s">
        <v>413</v>
      </c>
      <c r="L15" s="11" t="s">
        <v>414</v>
      </c>
      <c r="M15" s="11" t="s">
        <v>416</v>
      </c>
      <c r="N15" s="11" t="s">
        <v>417</v>
      </c>
      <c r="O15" s="11" t="s">
        <v>39</v>
      </c>
      <c r="P15" s="28" t="s">
        <v>418</v>
      </c>
    </row>
    <row r="16" spans="1:16" ht="110.4" hidden="1" customHeight="1">
      <c r="A16" s="11" t="s">
        <v>419</v>
      </c>
      <c r="B16" s="11">
        <v>7</v>
      </c>
      <c r="C16" s="11" t="s">
        <v>25</v>
      </c>
      <c r="D16" s="11" t="s">
        <v>420</v>
      </c>
      <c r="E16" s="11" t="s">
        <v>421</v>
      </c>
      <c r="F16" s="11" t="s">
        <v>422</v>
      </c>
      <c r="G16" s="11" t="s">
        <v>60</v>
      </c>
      <c r="H16" s="16">
        <v>1.5</v>
      </c>
      <c r="I16" s="11" t="s">
        <v>411</v>
      </c>
      <c r="J16" s="11" t="s">
        <v>423</v>
      </c>
      <c r="K16" s="11" t="s">
        <v>424</v>
      </c>
      <c r="L16" s="11" t="s">
        <v>425</v>
      </c>
      <c r="M16" s="11" t="s">
        <v>427</v>
      </c>
      <c r="N16" s="11" t="s">
        <v>429</v>
      </c>
      <c r="O16" s="11" t="s">
        <v>39</v>
      </c>
      <c r="P16" s="28" t="s">
        <v>430</v>
      </c>
    </row>
    <row r="17" spans="1:16" ht="110.4" hidden="1" customHeight="1">
      <c r="A17" s="11" t="s">
        <v>431</v>
      </c>
      <c r="B17" s="11">
        <v>8</v>
      </c>
      <c r="C17" s="11" t="s">
        <v>25</v>
      </c>
      <c r="D17" s="11" t="s">
        <v>432</v>
      </c>
      <c r="E17" s="11" t="s">
        <v>433</v>
      </c>
      <c r="F17" s="11" t="s">
        <v>434</v>
      </c>
      <c r="G17" s="11" t="s">
        <v>60</v>
      </c>
      <c r="H17" s="16">
        <v>1</v>
      </c>
      <c r="I17" s="11" t="s">
        <v>399</v>
      </c>
      <c r="J17" s="11" t="s">
        <v>281</v>
      </c>
      <c r="K17" s="11" t="s">
        <v>435</v>
      </c>
      <c r="L17" s="11" t="s">
        <v>436</v>
      </c>
      <c r="M17" s="11" t="s">
        <v>438</v>
      </c>
      <c r="N17" s="11" t="s">
        <v>439</v>
      </c>
      <c r="O17" s="11" t="s">
        <v>39</v>
      </c>
      <c r="P17" s="28" t="s">
        <v>440</v>
      </c>
    </row>
    <row r="18" spans="1:16" ht="110.4" customHeight="1">
      <c r="A18" s="11" t="s">
        <v>441</v>
      </c>
      <c r="B18" s="11">
        <v>9</v>
      </c>
      <c r="C18" s="11" t="s">
        <v>25</v>
      </c>
      <c r="D18" s="11" t="s">
        <v>442</v>
      </c>
      <c r="E18" s="11" t="s">
        <v>443</v>
      </c>
      <c r="F18" s="11" t="s">
        <v>444</v>
      </c>
      <c r="G18" s="11" t="s">
        <v>60</v>
      </c>
      <c r="H18" s="16">
        <v>0.75</v>
      </c>
      <c r="I18" s="11" t="s">
        <v>445</v>
      </c>
      <c r="J18" s="11" t="s">
        <v>446</v>
      </c>
      <c r="K18" s="11" t="s">
        <v>447</v>
      </c>
      <c r="L18" s="11" t="s">
        <v>448</v>
      </c>
      <c r="M18" s="11" t="s">
        <v>450</v>
      </c>
      <c r="N18" s="11" t="s">
        <v>452</v>
      </c>
      <c r="O18" s="11" t="s">
        <v>1111</v>
      </c>
      <c r="P18" s="28" t="s">
        <v>453</v>
      </c>
    </row>
    <row r="19" spans="1:16" ht="110.4" hidden="1" customHeight="1">
      <c r="A19" s="11" t="s">
        <v>454</v>
      </c>
      <c r="B19" s="11">
        <v>10</v>
      </c>
      <c r="C19" s="11" t="s">
        <v>25</v>
      </c>
      <c r="D19" s="11" t="s">
        <v>455</v>
      </c>
      <c r="E19" s="11" t="s">
        <v>456</v>
      </c>
      <c r="F19" s="11" t="s">
        <v>457</v>
      </c>
      <c r="G19" s="11" t="s">
        <v>46</v>
      </c>
      <c r="H19" s="16">
        <v>0.75</v>
      </c>
      <c r="I19" s="11" t="s">
        <v>411</v>
      </c>
      <c r="J19" s="11" t="s">
        <v>458</v>
      </c>
      <c r="K19" s="11" t="s">
        <v>459</v>
      </c>
      <c r="L19" s="11" t="s">
        <v>460</v>
      </c>
      <c r="M19" s="11" t="s">
        <v>462</v>
      </c>
      <c r="N19" s="11" t="s">
        <v>463</v>
      </c>
      <c r="O19" s="11" t="s">
        <v>39</v>
      </c>
      <c r="P19" s="28" t="s">
        <v>464</v>
      </c>
    </row>
    <row r="20" spans="1:16" ht="193.8" hidden="1" customHeight="1">
      <c r="A20" s="11" t="s">
        <v>465</v>
      </c>
      <c r="B20" s="11">
        <v>11</v>
      </c>
      <c r="C20" s="11" t="s">
        <v>25</v>
      </c>
      <c r="D20" s="11" t="s">
        <v>466</v>
      </c>
      <c r="E20" s="11" t="s">
        <v>467</v>
      </c>
      <c r="F20" s="11" t="s">
        <v>468</v>
      </c>
      <c r="G20" s="11" t="s">
        <v>46</v>
      </c>
      <c r="H20" s="16">
        <v>1</v>
      </c>
      <c r="I20" s="11" t="s">
        <v>469</v>
      </c>
      <c r="J20" s="11" t="s">
        <v>37</v>
      </c>
      <c r="K20" s="11" t="s">
        <v>470</v>
      </c>
      <c r="L20" s="11" t="s">
        <v>471</v>
      </c>
      <c r="M20" s="11" t="s">
        <v>473</v>
      </c>
      <c r="N20" s="11" t="s">
        <v>475</v>
      </c>
      <c r="O20" s="11" t="s">
        <v>39</v>
      </c>
      <c r="P20" s="28" t="s">
        <v>476</v>
      </c>
    </row>
    <row r="21" spans="1:16" ht="193.8" customHeight="1">
      <c r="A21" s="11" t="s">
        <v>477</v>
      </c>
      <c r="B21" s="11">
        <v>12</v>
      </c>
      <c r="C21" s="11" t="s">
        <v>25</v>
      </c>
      <c r="D21" s="11" t="s">
        <v>168</v>
      </c>
      <c r="E21" s="11" t="s">
        <v>478</v>
      </c>
      <c r="F21" s="11" t="s">
        <v>479</v>
      </c>
      <c r="G21" s="11" t="s">
        <v>29</v>
      </c>
      <c r="H21" s="16">
        <v>0.75</v>
      </c>
      <c r="I21" s="11" t="s">
        <v>480</v>
      </c>
      <c r="J21" s="11" t="s">
        <v>481</v>
      </c>
      <c r="K21" s="11" t="s">
        <v>482</v>
      </c>
      <c r="L21" s="11" t="s">
        <v>483</v>
      </c>
      <c r="M21" s="11" t="s">
        <v>485</v>
      </c>
      <c r="N21" s="11" t="s">
        <v>487</v>
      </c>
      <c r="O21" s="11" t="s">
        <v>39</v>
      </c>
      <c r="P21" s="28" t="s">
        <v>488</v>
      </c>
    </row>
    <row r="22" spans="1:16" ht="82.8" customHeight="1">
      <c r="A22" t="s">
        <v>489</v>
      </c>
      <c r="B22">
        <v>13</v>
      </c>
      <c r="C22" t="s">
        <v>25</v>
      </c>
      <c r="D22" t="s">
        <v>182</v>
      </c>
      <c r="E22" t="s">
        <v>490</v>
      </c>
      <c r="F22" t="s">
        <v>491</v>
      </c>
      <c r="G22" t="s">
        <v>46</v>
      </c>
      <c r="H22">
        <v>1</v>
      </c>
      <c r="I22" t="s">
        <v>185</v>
      </c>
      <c r="J22" t="s">
        <v>37</v>
      </c>
      <c r="K22" t="s">
        <v>492</v>
      </c>
      <c r="L22" t="s">
        <v>493</v>
      </c>
      <c r="M22" t="s">
        <v>494</v>
      </c>
      <c r="N22" t="s">
        <v>191</v>
      </c>
      <c r="O22" s="11" t="s">
        <v>39</v>
      </c>
      <c r="P22" s="28" t="s">
        <v>497</v>
      </c>
    </row>
    <row r="23" spans="1:16" ht="24" customHeight="1">
      <c r="A23" s="80"/>
      <c r="B23" s="58"/>
      <c r="C23" s="58"/>
      <c r="D23" s="58"/>
      <c r="E23" s="58"/>
      <c r="F23" s="58"/>
      <c r="G23" s="58"/>
      <c r="H23" s="58"/>
      <c r="I23" s="58"/>
      <c r="J23" s="58"/>
      <c r="K23" s="58"/>
      <c r="L23" s="58"/>
      <c r="M23" s="58"/>
      <c r="N23" s="58"/>
      <c r="O23" s="58"/>
    </row>
    <row r="24" spans="1:16" ht="34.049999999999997" customHeight="1">
      <c r="A24" s="30" t="s">
        <v>1040</v>
      </c>
      <c r="B24" s="30"/>
      <c r="C24" s="30"/>
      <c r="D24" s="30"/>
      <c r="E24" s="30"/>
      <c r="F24" s="30"/>
      <c r="G24" s="30"/>
      <c r="H24" s="31"/>
      <c r="I24" s="31"/>
      <c r="J24" s="31"/>
      <c r="K24" s="31"/>
      <c r="L24" s="31"/>
      <c r="M24" s="31"/>
      <c r="N24" s="31"/>
      <c r="O24" s="31"/>
      <c r="P24" s="56"/>
    </row>
    <row r="25" spans="1:16" ht="48" customHeight="1">
      <c r="A25" s="33" t="s">
        <v>1041</v>
      </c>
      <c r="B25" s="33" t="s">
        <v>11</v>
      </c>
      <c r="C25" s="33" t="s">
        <v>1042</v>
      </c>
      <c r="D25" s="33" t="s">
        <v>1043</v>
      </c>
      <c r="E25" s="33" t="s">
        <v>1044</v>
      </c>
      <c r="F25" s="33" t="s">
        <v>1045</v>
      </c>
      <c r="G25" s="33" t="s">
        <v>1046</v>
      </c>
    </row>
    <row r="26" spans="1:16" ht="52.05" customHeight="1">
      <c r="A26" s="22">
        <v>1</v>
      </c>
      <c r="B26" s="22" t="s">
        <v>351</v>
      </c>
      <c r="C26" s="22" t="s">
        <v>1112</v>
      </c>
      <c r="D26" s="22" t="s">
        <v>1113</v>
      </c>
      <c r="E26" s="22" t="s">
        <v>1114</v>
      </c>
      <c r="F26" s="22" t="s">
        <v>1115</v>
      </c>
      <c r="G26" s="22" t="s">
        <v>1060</v>
      </c>
    </row>
    <row r="27" spans="1:16" ht="52.05" customHeight="1">
      <c r="A27" s="34">
        <v>2</v>
      </c>
      <c r="B27" s="34" t="s">
        <v>411</v>
      </c>
      <c r="C27" s="34" t="s">
        <v>1116</v>
      </c>
      <c r="D27" s="34" t="s">
        <v>1117</v>
      </c>
      <c r="E27" s="34" t="s">
        <v>1118</v>
      </c>
      <c r="F27" s="34" t="s">
        <v>1119</v>
      </c>
      <c r="G27" s="34" t="s">
        <v>1060</v>
      </c>
    </row>
    <row r="28" spans="1:16" ht="52.05" customHeight="1">
      <c r="A28" s="22">
        <v>3</v>
      </c>
      <c r="B28" s="22" t="s">
        <v>399</v>
      </c>
      <c r="C28" s="22" t="s">
        <v>1120</v>
      </c>
      <c r="D28" s="22" t="s">
        <v>1121</v>
      </c>
      <c r="E28" s="22" t="s">
        <v>1122</v>
      </c>
      <c r="F28" s="22" t="s">
        <v>1123</v>
      </c>
      <c r="G28" s="22" t="s">
        <v>1060</v>
      </c>
    </row>
    <row r="29" spans="1:16" ht="52.05" customHeight="1">
      <c r="A29" s="34">
        <v>4</v>
      </c>
      <c r="B29" s="34" t="s">
        <v>469</v>
      </c>
      <c r="C29" s="34" t="s">
        <v>1124</v>
      </c>
      <c r="D29" s="34" t="s">
        <v>1125</v>
      </c>
      <c r="E29" s="34" t="s">
        <v>1126</v>
      </c>
      <c r="F29" s="34" t="s">
        <v>1127</v>
      </c>
      <c r="G29" s="34" t="s">
        <v>1060</v>
      </c>
    </row>
    <row r="30" spans="1:16" ht="52.05" customHeight="1">
      <c r="A30" s="35">
        <v>5</v>
      </c>
      <c r="B30" s="35" t="s">
        <v>480</v>
      </c>
      <c r="C30" s="35" t="s">
        <v>1073</v>
      </c>
      <c r="D30" s="35" t="s">
        <v>1074</v>
      </c>
      <c r="E30" s="35" t="s">
        <v>1128</v>
      </c>
      <c r="F30" s="35" t="s">
        <v>485</v>
      </c>
      <c r="G30" s="35" t="s">
        <v>1051</v>
      </c>
    </row>
    <row r="31" spans="1:16" ht="52.05" customHeight="1">
      <c r="A31" s="35">
        <v>6</v>
      </c>
      <c r="B31" s="35" t="s">
        <v>185</v>
      </c>
      <c r="C31" s="35" t="s">
        <v>1129</v>
      </c>
      <c r="D31" s="35" t="s">
        <v>1077</v>
      </c>
      <c r="E31" s="35" t="s">
        <v>1078</v>
      </c>
      <c r="F31" s="35" t="s">
        <v>1130</v>
      </c>
      <c r="G31"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style="27" customWidth="1"/>
  </cols>
  <sheetData>
    <row r="1" spans="1:16" ht="31.95" customHeight="1">
      <c r="A1" s="57" t="s">
        <v>1131</v>
      </c>
      <c r="B1" s="58"/>
      <c r="C1" s="58"/>
      <c r="D1" s="58"/>
      <c r="E1" s="58"/>
      <c r="F1" s="58"/>
      <c r="G1" s="58"/>
      <c r="H1" s="58"/>
      <c r="I1" s="58"/>
      <c r="J1" s="58"/>
      <c r="K1" s="58"/>
      <c r="L1" s="58"/>
      <c r="M1" s="58"/>
      <c r="N1" s="58"/>
      <c r="O1" s="58"/>
    </row>
    <row r="2" spans="1:16" ht="31.95" customHeight="1">
      <c r="A2" s="59" t="s">
        <v>1132</v>
      </c>
      <c r="B2" s="58"/>
      <c r="C2" s="58"/>
      <c r="D2" s="58"/>
      <c r="E2" s="58"/>
      <c r="F2" s="58"/>
      <c r="G2" s="58"/>
      <c r="H2" s="58"/>
      <c r="I2" s="58"/>
      <c r="J2" s="58"/>
      <c r="K2" s="58"/>
      <c r="L2" s="58"/>
      <c r="M2" s="58"/>
      <c r="N2" s="58"/>
      <c r="O2" s="58"/>
    </row>
    <row r="4" spans="1:16" ht="28.05" customHeight="1">
      <c r="A4" s="69" t="s">
        <v>1020</v>
      </c>
      <c r="B4" s="71"/>
      <c r="D4" s="69" t="s">
        <v>1014</v>
      </c>
      <c r="E4" s="71"/>
      <c r="G4" s="69" t="s">
        <v>1029</v>
      </c>
      <c r="H4" s="70"/>
      <c r="I4" s="70"/>
      <c r="J4" s="70"/>
      <c r="K4" s="70"/>
      <c r="L4" s="70"/>
      <c r="M4" s="70"/>
      <c r="N4" s="70"/>
      <c r="O4" s="71"/>
    </row>
    <row r="5" spans="1:16">
      <c r="A5" s="81">
        <f>IF(COUNTA(O10:O40)=0,0,COUNTIF(O10:O40,"Done")/COUNTA(A10:A40))</f>
        <v>0.61904761904761907</v>
      </c>
      <c r="B5" s="62"/>
      <c r="D5" s="82">
        <f>COUNTIF(O10:O40,"Blocked")</f>
        <v>0</v>
      </c>
      <c r="E5" s="62"/>
      <c r="G5" s="79" t="s">
        <v>1133</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8" t="s">
        <v>22</v>
      </c>
    </row>
    <row r="10" spans="1:16" ht="110.4" customHeight="1">
      <c r="A10" s="10" t="s">
        <v>498</v>
      </c>
      <c r="B10" s="10">
        <v>1</v>
      </c>
      <c r="C10" s="10" t="s">
        <v>25</v>
      </c>
      <c r="D10" s="10" t="s">
        <v>500</v>
      </c>
      <c r="E10" s="10" t="s">
        <v>501</v>
      </c>
      <c r="F10" s="10" t="s">
        <v>502</v>
      </c>
      <c r="G10" s="10" t="s">
        <v>60</v>
      </c>
      <c r="H10" s="15">
        <v>1.5</v>
      </c>
      <c r="I10" s="10" t="s">
        <v>503</v>
      </c>
      <c r="J10" s="10" t="s">
        <v>281</v>
      </c>
      <c r="K10" s="10" t="s">
        <v>504</v>
      </c>
      <c r="L10" s="10" t="s">
        <v>505</v>
      </c>
      <c r="M10" s="10" t="s">
        <v>507</v>
      </c>
      <c r="N10" s="10" t="s">
        <v>509</v>
      </c>
      <c r="O10" s="10" t="s">
        <v>39</v>
      </c>
      <c r="P10" s="28" t="s">
        <v>510</v>
      </c>
    </row>
    <row r="11" spans="1:16" ht="110.4" customHeight="1">
      <c r="A11" s="11" t="s">
        <v>511</v>
      </c>
      <c r="B11" s="11">
        <v>2</v>
      </c>
      <c r="C11" s="11" t="s">
        <v>25</v>
      </c>
      <c r="D11" s="11" t="s">
        <v>278</v>
      </c>
      <c r="E11" s="11" t="s">
        <v>512</v>
      </c>
      <c r="F11" s="11" t="s">
        <v>513</v>
      </c>
      <c r="G11" s="11" t="s">
        <v>60</v>
      </c>
      <c r="H11" s="16">
        <v>1</v>
      </c>
      <c r="I11" s="11" t="s">
        <v>503</v>
      </c>
      <c r="J11" s="11" t="s">
        <v>281</v>
      </c>
      <c r="K11" s="11" t="s">
        <v>514</v>
      </c>
      <c r="L11" s="11" t="s">
        <v>515</v>
      </c>
      <c r="M11" s="11" t="s">
        <v>517</v>
      </c>
      <c r="N11" s="11" t="s">
        <v>518</v>
      </c>
      <c r="O11" s="11" t="s">
        <v>39</v>
      </c>
      <c r="P11" s="28" t="s">
        <v>519</v>
      </c>
    </row>
    <row r="12" spans="1:16" ht="110.4" customHeight="1">
      <c r="A12" s="11" t="s">
        <v>520</v>
      </c>
      <c r="B12" s="11">
        <v>3</v>
      </c>
      <c r="C12" s="11" t="s">
        <v>25</v>
      </c>
      <c r="D12" s="11" t="s">
        <v>521</v>
      </c>
      <c r="E12" s="11" t="s">
        <v>522</v>
      </c>
      <c r="F12" s="11" t="s">
        <v>523</v>
      </c>
      <c r="G12" s="11" t="s">
        <v>60</v>
      </c>
      <c r="H12" s="16">
        <v>1.25</v>
      </c>
      <c r="I12" s="11" t="s">
        <v>524</v>
      </c>
      <c r="J12" s="11" t="s">
        <v>481</v>
      </c>
      <c r="K12" s="11" t="s">
        <v>525</v>
      </c>
      <c r="L12" s="11" t="s">
        <v>526</v>
      </c>
      <c r="M12" s="11" t="s">
        <v>528</v>
      </c>
      <c r="N12" s="11" t="s">
        <v>530</v>
      </c>
      <c r="O12" s="11" t="s">
        <v>39</v>
      </c>
      <c r="P12" s="28" t="s">
        <v>531</v>
      </c>
    </row>
    <row r="13" spans="1:16" ht="110.4" customHeight="1">
      <c r="A13" s="11" t="s">
        <v>532</v>
      </c>
      <c r="B13" s="11">
        <v>4</v>
      </c>
      <c r="C13" s="11" t="s">
        <v>25</v>
      </c>
      <c r="D13" s="11" t="s">
        <v>533</v>
      </c>
      <c r="E13" s="11" t="s">
        <v>534</v>
      </c>
      <c r="F13" s="11" t="s">
        <v>535</v>
      </c>
      <c r="G13" s="11" t="s">
        <v>60</v>
      </c>
      <c r="H13" s="16">
        <v>0.75</v>
      </c>
      <c r="I13" s="11" t="s">
        <v>524</v>
      </c>
      <c r="J13" s="11" t="s">
        <v>37</v>
      </c>
      <c r="K13" s="11" t="s">
        <v>536</v>
      </c>
      <c r="L13" s="11" t="s">
        <v>537</v>
      </c>
      <c r="M13" s="11" t="s">
        <v>539</v>
      </c>
      <c r="N13" s="11" t="s">
        <v>540</v>
      </c>
      <c r="O13" s="11" t="s">
        <v>39</v>
      </c>
      <c r="P13" s="28" t="s">
        <v>541</v>
      </c>
    </row>
    <row r="14" spans="1:16" ht="110.4" customHeight="1">
      <c r="A14" s="11" t="s">
        <v>542</v>
      </c>
      <c r="B14" s="11">
        <v>5</v>
      </c>
      <c r="C14" s="11" t="s">
        <v>25</v>
      </c>
      <c r="D14" s="11" t="s">
        <v>543</v>
      </c>
      <c r="E14" s="11" t="s">
        <v>544</v>
      </c>
      <c r="F14" s="11" t="s">
        <v>545</v>
      </c>
      <c r="G14" s="11" t="s">
        <v>60</v>
      </c>
      <c r="H14" s="16">
        <v>1.25</v>
      </c>
      <c r="I14" s="11" t="s">
        <v>524</v>
      </c>
      <c r="J14" s="11" t="s">
        <v>481</v>
      </c>
      <c r="K14" s="11" t="s">
        <v>546</v>
      </c>
      <c r="L14" s="11" t="s">
        <v>547</v>
      </c>
      <c r="M14" s="11" t="s">
        <v>549</v>
      </c>
      <c r="N14" s="11" t="s">
        <v>552</v>
      </c>
      <c r="O14" s="11" t="s">
        <v>39</v>
      </c>
      <c r="P14" s="28" t="s">
        <v>553</v>
      </c>
    </row>
    <row r="15" spans="1:16" ht="110.4" customHeight="1">
      <c r="A15" s="11" t="s">
        <v>554</v>
      </c>
      <c r="B15" s="11">
        <v>6</v>
      </c>
      <c r="C15" s="11" t="s">
        <v>25</v>
      </c>
      <c r="D15" s="11" t="s">
        <v>555</v>
      </c>
      <c r="E15" s="11" t="s">
        <v>556</v>
      </c>
      <c r="F15" s="11" t="s">
        <v>557</v>
      </c>
      <c r="G15" s="11" t="s">
        <v>60</v>
      </c>
      <c r="H15" s="16">
        <v>1</v>
      </c>
      <c r="I15" s="11" t="s">
        <v>524</v>
      </c>
      <c r="J15" s="11" t="s">
        <v>558</v>
      </c>
      <c r="K15" s="11" t="s">
        <v>559</v>
      </c>
      <c r="L15" s="11" t="s">
        <v>560</v>
      </c>
      <c r="M15" s="11" t="s">
        <v>562</v>
      </c>
      <c r="N15" s="11" t="s">
        <v>563</v>
      </c>
      <c r="O15" s="11" t="s">
        <v>39</v>
      </c>
      <c r="P15" s="28" t="s">
        <v>564</v>
      </c>
    </row>
    <row r="16" spans="1:16" ht="110.4" customHeight="1">
      <c r="A16" s="11" t="s">
        <v>565</v>
      </c>
      <c r="B16" s="11">
        <v>7</v>
      </c>
      <c r="C16" s="11" t="s">
        <v>25</v>
      </c>
      <c r="D16" s="11" t="s">
        <v>566</v>
      </c>
      <c r="E16" s="11" t="s">
        <v>567</v>
      </c>
      <c r="F16" s="11" t="s">
        <v>568</v>
      </c>
      <c r="G16" s="11" t="s">
        <v>60</v>
      </c>
      <c r="H16" s="16">
        <v>0.75</v>
      </c>
      <c r="I16" s="11" t="s">
        <v>524</v>
      </c>
      <c r="J16" s="11" t="s">
        <v>569</v>
      </c>
      <c r="K16" s="11" t="s">
        <v>570</v>
      </c>
      <c r="L16" s="11" t="s">
        <v>571</v>
      </c>
      <c r="M16" s="11" t="s">
        <v>573</v>
      </c>
      <c r="N16" s="11" t="s">
        <v>574</v>
      </c>
      <c r="O16" s="11" t="s">
        <v>39</v>
      </c>
      <c r="P16" s="28" t="s">
        <v>575</v>
      </c>
    </row>
    <row r="17" spans="1:16" ht="110.4" customHeight="1">
      <c r="A17" s="11" t="s">
        <v>576</v>
      </c>
      <c r="B17" s="11">
        <v>8</v>
      </c>
      <c r="C17" s="11" t="s">
        <v>25</v>
      </c>
      <c r="D17" s="11" t="s">
        <v>577</v>
      </c>
      <c r="E17" s="11" t="s">
        <v>578</v>
      </c>
      <c r="F17" s="11" t="s">
        <v>579</v>
      </c>
      <c r="G17" s="11" t="s">
        <v>60</v>
      </c>
      <c r="H17" s="16">
        <v>1</v>
      </c>
      <c r="I17" s="11" t="s">
        <v>445</v>
      </c>
      <c r="J17" s="11" t="s">
        <v>446</v>
      </c>
      <c r="K17" s="11" t="s">
        <v>580</v>
      </c>
      <c r="L17" s="11" t="s">
        <v>581</v>
      </c>
      <c r="M17" s="11" t="s">
        <v>583</v>
      </c>
      <c r="N17" s="11" t="s">
        <v>585</v>
      </c>
      <c r="O17" s="11" t="s">
        <v>39</v>
      </c>
      <c r="P17" s="28" t="s">
        <v>586</v>
      </c>
    </row>
    <row r="18" spans="1:16" ht="110.4" customHeight="1">
      <c r="A18" s="11" t="s">
        <v>587</v>
      </c>
      <c r="B18" s="11">
        <v>9</v>
      </c>
      <c r="C18" s="11" t="s">
        <v>25</v>
      </c>
      <c r="D18" s="11" t="s">
        <v>588</v>
      </c>
      <c r="E18" s="11" t="s">
        <v>589</v>
      </c>
      <c r="F18" s="11" t="s">
        <v>590</v>
      </c>
      <c r="G18" s="11" t="s">
        <v>60</v>
      </c>
      <c r="H18" s="16">
        <v>1</v>
      </c>
      <c r="I18" s="11" t="s">
        <v>524</v>
      </c>
      <c r="J18" s="11" t="s">
        <v>37</v>
      </c>
      <c r="K18" s="11" t="s">
        <v>591</v>
      </c>
      <c r="L18" s="11" t="s">
        <v>592</v>
      </c>
      <c r="M18" s="11" t="s">
        <v>594</v>
      </c>
      <c r="N18" s="11" t="s">
        <v>597</v>
      </c>
      <c r="O18" s="11" t="s">
        <v>39</v>
      </c>
      <c r="P18" s="28" t="s">
        <v>598</v>
      </c>
    </row>
    <row r="19" spans="1:16" ht="110.4" customHeight="1">
      <c r="A19" s="11" t="s">
        <v>599</v>
      </c>
      <c r="B19" s="11">
        <v>10</v>
      </c>
      <c r="C19" s="11" t="s">
        <v>314</v>
      </c>
      <c r="D19" s="11" t="s">
        <v>600</v>
      </c>
      <c r="E19" s="11" t="s">
        <v>601</v>
      </c>
      <c r="F19" s="11" t="s">
        <v>602</v>
      </c>
      <c r="G19" s="11" t="s">
        <v>60</v>
      </c>
      <c r="H19" s="16">
        <v>0.75</v>
      </c>
      <c r="I19" s="11" t="s">
        <v>503</v>
      </c>
      <c r="J19" s="11" t="s">
        <v>558</v>
      </c>
      <c r="K19" s="11" t="s">
        <v>603</v>
      </c>
      <c r="L19" s="11" t="s">
        <v>604</v>
      </c>
      <c r="M19" s="11" t="s">
        <v>606</v>
      </c>
      <c r="N19" s="11" t="s">
        <v>609</v>
      </c>
      <c r="O19" s="11" t="s">
        <v>39</v>
      </c>
      <c r="P19" s="28" t="s">
        <v>610</v>
      </c>
    </row>
    <row r="20" spans="1:16" ht="193.8" customHeight="1">
      <c r="A20" s="11" t="s">
        <v>611</v>
      </c>
      <c r="B20" s="11">
        <v>11</v>
      </c>
      <c r="C20" s="11" t="s">
        <v>25</v>
      </c>
      <c r="D20" s="11" t="s">
        <v>612</v>
      </c>
      <c r="E20" s="11" t="s">
        <v>613</v>
      </c>
      <c r="F20" s="11" t="s">
        <v>614</v>
      </c>
      <c r="G20" s="11" t="s">
        <v>46</v>
      </c>
      <c r="H20" s="16">
        <v>1</v>
      </c>
      <c r="I20" s="11" t="s">
        <v>615</v>
      </c>
      <c r="J20" s="11" t="s">
        <v>37</v>
      </c>
      <c r="K20" s="11" t="s">
        <v>616</v>
      </c>
      <c r="L20" s="11" t="s">
        <v>617</v>
      </c>
      <c r="M20" s="11" t="s">
        <v>619</v>
      </c>
      <c r="N20" s="11" t="s">
        <v>621</v>
      </c>
      <c r="O20" s="11" t="s">
        <v>39</v>
      </c>
      <c r="P20" s="28" t="s">
        <v>622</v>
      </c>
    </row>
    <row r="21" spans="1:16" ht="193.8" customHeight="1">
      <c r="A21" s="11" t="s">
        <v>623</v>
      </c>
      <c r="B21" s="11">
        <v>12</v>
      </c>
      <c r="C21" s="11" t="s">
        <v>25</v>
      </c>
      <c r="D21" s="11" t="s">
        <v>168</v>
      </c>
      <c r="E21" s="11" t="s">
        <v>624</v>
      </c>
      <c r="F21" s="11" t="s">
        <v>625</v>
      </c>
      <c r="G21" s="11" t="s">
        <v>29</v>
      </c>
      <c r="H21" s="16">
        <v>0.75</v>
      </c>
      <c r="I21" s="11" t="s">
        <v>626</v>
      </c>
      <c r="J21" s="11" t="s">
        <v>627</v>
      </c>
      <c r="K21" s="11" t="s">
        <v>628</v>
      </c>
      <c r="L21" s="11" t="s">
        <v>629</v>
      </c>
      <c r="M21" s="11" t="s">
        <v>631</v>
      </c>
      <c r="N21" s="11" t="s">
        <v>633</v>
      </c>
      <c r="O21" s="11" t="s">
        <v>39</v>
      </c>
      <c r="P21" s="28" t="s">
        <v>634</v>
      </c>
    </row>
    <row r="22" spans="1:16" ht="82.8" customHeight="1">
      <c r="A22" t="s">
        <v>635</v>
      </c>
      <c r="B22">
        <v>13</v>
      </c>
      <c r="C22" t="s">
        <v>25</v>
      </c>
      <c r="D22" t="s">
        <v>182</v>
      </c>
      <c r="E22" t="s">
        <v>636</v>
      </c>
      <c r="F22" t="s">
        <v>637</v>
      </c>
      <c r="G22" t="s">
        <v>46</v>
      </c>
      <c r="H22">
        <v>1</v>
      </c>
      <c r="I22" t="s">
        <v>185</v>
      </c>
      <c r="J22" t="s">
        <v>37</v>
      </c>
      <c r="K22" t="s">
        <v>638</v>
      </c>
      <c r="L22" t="s">
        <v>639</v>
      </c>
      <c r="M22" t="s">
        <v>640</v>
      </c>
      <c r="N22" t="s">
        <v>191</v>
      </c>
      <c r="O22" s="11" t="s">
        <v>39</v>
      </c>
      <c r="P22" s="28" t="s">
        <v>643</v>
      </c>
    </row>
    <row r="23" spans="1:16" ht="24" customHeight="1">
      <c r="A23" s="80"/>
      <c r="B23" s="58"/>
      <c r="C23" s="58"/>
      <c r="D23" s="58"/>
      <c r="E23" s="58"/>
      <c r="F23" s="58"/>
      <c r="G23" s="58"/>
      <c r="H23" s="58"/>
      <c r="I23" s="58"/>
      <c r="J23" s="58"/>
      <c r="K23" s="58"/>
      <c r="L23" s="58"/>
      <c r="M23" s="58"/>
      <c r="N23" s="58"/>
      <c r="O23" s="58"/>
    </row>
    <row r="24" spans="1:16" ht="34.049999999999997" customHeight="1">
      <c r="A24" s="30" t="s">
        <v>1040</v>
      </c>
      <c r="B24" s="30"/>
      <c r="C24" s="30"/>
      <c r="D24" s="30"/>
      <c r="E24" s="30"/>
      <c r="F24" s="30"/>
      <c r="G24" s="30"/>
      <c r="H24" s="31"/>
      <c r="I24" s="31"/>
      <c r="J24" s="31"/>
      <c r="K24" s="31"/>
      <c r="L24" s="31"/>
      <c r="M24" s="31"/>
      <c r="N24" s="31"/>
      <c r="O24" s="31"/>
      <c r="P24" s="56"/>
    </row>
    <row r="25" spans="1:16" ht="48" customHeight="1">
      <c r="A25" s="33" t="s">
        <v>1041</v>
      </c>
      <c r="B25" s="33" t="s">
        <v>11</v>
      </c>
      <c r="C25" s="33" t="s">
        <v>1042</v>
      </c>
      <c r="D25" s="33" t="s">
        <v>1043</v>
      </c>
      <c r="E25" s="33" t="s">
        <v>1044</v>
      </c>
      <c r="F25" s="33" t="s">
        <v>1045</v>
      </c>
      <c r="G25" s="33" t="s">
        <v>1046</v>
      </c>
    </row>
    <row r="26" spans="1:16" ht="52.05" customHeight="1">
      <c r="A26" s="22">
        <v>1</v>
      </c>
      <c r="B26" s="22" t="s">
        <v>503</v>
      </c>
      <c r="C26" s="22" t="s">
        <v>1134</v>
      </c>
      <c r="D26" s="22" t="s">
        <v>1135</v>
      </c>
      <c r="E26" s="22" t="s">
        <v>1136</v>
      </c>
      <c r="F26" s="22" t="s">
        <v>1137</v>
      </c>
      <c r="G26" s="22" t="s">
        <v>1060</v>
      </c>
    </row>
    <row r="27" spans="1:16" ht="52.05" customHeight="1">
      <c r="A27" s="34">
        <v>2</v>
      </c>
      <c r="B27" s="34" t="s">
        <v>524</v>
      </c>
      <c r="C27" s="34" t="s">
        <v>1138</v>
      </c>
      <c r="D27" s="34" t="s">
        <v>1139</v>
      </c>
      <c r="E27" s="34" t="s">
        <v>1140</v>
      </c>
      <c r="F27" s="34" t="s">
        <v>1141</v>
      </c>
      <c r="G27" s="34" t="s">
        <v>1060</v>
      </c>
    </row>
    <row r="28" spans="1:16" ht="52.05" customHeight="1">
      <c r="A28" s="22">
        <v>3</v>
      </c>
      <c r="B28" s="22" t="s">
        <v>445</v>
      </c>
      <c r="C28" s="22" t="s">
        <v>1142</v>
      </c>
      <c r="D28" s="22" t="s">
        <v>1143</v>
      </c>
      <c r="E28" s="22" t="s">
        <v>1144</v>
      </c>
      <c r="F28" s="22" t="s">
        <v>1145</v>
      </c>
      <c r="G28" s="22" t="s">
        <v>1060</v>
      </c>
    </row>
    <row r="29" spans="1:16" ht="52.05" customHeight="1">
      <c r="A29" s="34">
        <v>4</v>
      </c>
      <c r="B29" s="34" t="s">
        <v>615</v>
      </c>
      <c r="C29" s="34" t="s">
        <v>1146</v>
      </c>
      <c r="D29" s="34" t="s">
        <v>1147</v>
      </c>
      <c r="E29" s="34" t="s">
        <v>1148</v>
      </c>
      <c r="F29" s="34" t="s">
        <v>1149</v>
      </c>
      <c r="G29" s="34" t="s">
        <v>1060</v>
      </c>
    </row>
    <row r="30" spans="1:16" ht="52.05" customHeight="1">
      <c r="A30" s="35">
        <v>5</v>
      </c>
      <c r="B30" s="35" t="s">
        <v>626</v>
      </c>
      <c r="C30" s="35" t="s">
        <v>1073</v>
      </c>
      <c r="D30" s="35" t="s">
        <v>1074</v>
      </c>
      <c r="E30" s="35" t="s">
        <v>1150</v>
      </c>
      <c r="F30" s="35" t="s">
        <v>631</v>
      </c>
      <c r="G30" s="35" t="s">
        <v>1051</v>
      </c>
    </row>
    <row r="31" spans="1:16" ht="52.05" customHeight="1">
      <c r="A31" s="35">
        <v>6</v>
      </c>
      <c r="B31" s="35" t="s">
        <v>185</v>
      </c>
      <c r="C31" s="35" t="s">
        <v>1151</v>
      </c>
      <c r="D31" s="35" t="s">
        <v>1077</v>
      </c>
      <c r="E31" s="35" t="s">
        <v>1078</v>
      </c>
      <c r="F31" s="35" t="s">
        <v>1152</v>
      </c>
      <c r="G31"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topLeftCell="K21" workbookViewId="0">
      <selection activeCell="N22" sqref="N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1153</v>
      </c>
      <c r="B1" s="58"/>
      <c r="C1" s="58"/>
      <c r="D1" s="58"/>
      <c r="E1" s="58"/>
      <c r="F1" s="58"/>
      <c r="G1" s="58"/>
      <c r="H1" s="58"/>
      <c r="I1" s="58"/>
      <c r="J1" s="58"/>
      <c r="K1" s="58"/>
      <c r="L1" s="58"/>
      <c r="M1" s="58"/>
      <c r="N1" s="58"/>
      <c r="O1" s="58"/>
    </row>
    <row r="2" spans="1:16" ht="31.95" customHeight="1">
      <c r="A2" s="59" t="s">
        <v>1154</v>
      </c>
      <c r="B2" s="58"/>
      <c r="C2" s="58"/>
      <c r="D2" s="58"/>
      <c r="E2" s="58"/>
      <c r="F2" s="58"/>
      <c r="G2" s="58"/>
      <c r="H2" s="58"/>
      <c r="I2" s="58"/>
      <c r="J2" s="58"/>
      <c r="K2" s="58"/>
      <c r="L2" s="58"/>
      <c r="M2" s="58"/>
      <c r="N2" s="58"/>
      <c r="O2" s="58"/>
    </row>
    <row r="4" spans="1:16" ht="28.05" customHeight="1">
      <c r="A4" s="69" t="s">
        <v>1020</v>
      </c>
      <c r="B4" s="71"/>
      <c r="D4" s="69" t="s">
        <v>1014</v>
      </c>
      <c r="E4" s="71"/>
      <c r="G4" s="69" t="s">
        <v>1029</v>
      </c>
      <c r="H4" s="70"/>
      <c r="I4" s="70"/>
      <c r="J4" s="70"/>
      <c r="K4" s="70"/>
      <c r="L4" s="70"/>
      <c r="M4" s="70"/>
      <c r="N4" s="70"/>
      <c r="O4" s="71"/>
    </row>
    <row r="5" spans="1:16">
      <c r="A5" s="81">
        <f>IF(COUNTA(O10:O40)=0,0,COUNTIF(O10:O40,"Done")/COUNTA(A10:A40))</f>
        <v>0.60869565217391308</v>
      </c>
      <c r="B5" s="62"/>
      <c r="D5" s="82">
        <f>COUNTIF(O10:O40,"Blocked")</f>
        <v>0</v>
      </c>
      <c r="E5" s="62"/>
      <c r="G5" s="79" t="s">
        <v>1155</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96.6" customHeight="1">
      <c r="A10" s="10" t="s">
        <v>644</v>
      </c>
      <c r="B10" s="10">
        <v>1</v>
      </c>
      <c r="C10" s="10" t="s">
        <v>25</v>
      </c>
      <c r="D10" s="10" t="s">
        <v>646</v>
      </c>
      <c r="E10" s="10" t="s">
        <v>647</v>
      </c>
      <c r="F10" s="10" t="s">
        <v>648</v>
      </c>
      <c r="G10" s="10" t="s">
        <v>29</v>
      </c>
      <c r="H10" s="15">
        <v>1</v>
      </c>
      <c r="I10" s="10" t="s">
        <v>649</v>
      </c>
      <c r="J10" s="10" t="s">
        <v>650</v>
      </c>
      <c r="K10" s="10" t="s">
        <v>651</v>
      </c>
      <c r="L10" s="10" t="s">
        <v>652</v>
      </c>
      <c r="M10" s="10" t="s">
        <v>654</v>
      </c>
      <c r="N10" s="10" t="s">
        <v>655</v>
      </c>
      <c r="O10" s="10" t="s">
        <v>39</v>
      </c>
      <c r="P10" s="29" t="s">
        <v>657</v>
      </c>
    </row>
    <row r="11" spans="1:16" ht="409.6" customHeight="1">
      <c r="A11" s="11" t="s">
        <v>658</v>
      </c>
      <c r="B11" s="11">
        <v>2</v>
      </c>
      <c r="C11" s="11" t="s">
        <v>25</v>
      </c>
      <c r="D11" s="11" t="s">
        <v>659</v>
      </c>
      <c r="E11" s="11" t="s">
        <v>660</v>
      </c>
      <c r="F11" s="11" t="s">
        <v>661</v>
      </c>
      <c r="G11" s="11" t="s">
        <v>60</v>
      </c>
      <c r="H11" s="16">
        <v>1.25</v>
      </c>
      <c r="I11" s="11" t="s">
        <v>662</v>
      </c>
      <c r="J11" s="11" t="s">
        <v>663</v>
      </c>
      <c r="K11" s="11" t="s">
        <v>664</v>
      </c>
      <c r="L11" s="11" t="s">
        <v>665</v>
      </c>
      <c r="M11" s="11" t="s">
        <v>667</v>
      </c>
      <c r="N11" s="11" t="s">
        <v>668</v>
      </c>
      <c r="O11" s="11" t="s">
        <v>39</v>
      </c>
      <c r="P11" s="29" t="s">
        <v>670</v>
      </c>
    </row>
    <row r="12" spans="1:16" ht="193.8" customHeight="1">
      <c r="A12" s="11" t="s">
        <v>671</v>
      </c>
      <c r="B12" s="11">
        <v>3</v>
      </c>
      <c r="C12" s="11" t="s">
        <v>25</v>
      </c>
      <c r="D12" s="11" t="s">
        <v>672</v>
      </c>
      <c r="E12" s="11" t="s">
        <v>673</v>
      </c>
      <c r="F12" s="11" t="s">
        <v>674</v>
      </c>
      <c r="G12" s="11" t="s">
        <v>60</v>
      </c>
      <c r="H12" s="16">
        <v>1.25</v>
      </c>
      <c r="I12" s="11" t="s">
        <v>662</v>
      </c>
      <c r="J12" s="11" t="s">
        <v>675</v>
      </c>
      <c r="K12" s="11" t="s">
        <v>676</v>
      </c>
      <c r="L12" s="11" t="s">
        <v>677</v>
      </c>
      <c r="M12" s="11" t="s">
        <v>679</v>
      </c>
      <c r="N12" s="11" t="s">
        <v>682</v>
      </c>
      <c r="O12" s="11" t="s">
        <v>39</v>
      </c>
      <c r="P12" s="29" t="s">
        <v>683</v>
      </c>
    </row>
    <row r="13" spans="1:16" ht="193.8" customHeight="1">
      <c r="A13" s="11" t="s">
        <v>684</v>
      </c>
      <c r="B13" s="11">
        <v>4</v>
      </c>
      <c r="C13" s="11" t="s">
        <v>25</v>
      </c>
      <c r="D13" s="11" t="s">
        <v>685</v>
      </c>
      <c r="E13" s="11" t="s">
        <v>686</v>
      </c>
      <c r="F13" s="11" t="s">
        <v>687</v>
      </c>
      <c r="G13" s="11" t="s">
        <v>60</v>
      </c>
      <c r="H13" s="16">
        <v>1.25</v>
      </c>
      <c r="I13" s="11" t="s">
        <v>662</v>
      </c>
      <c r="J13" s="11" t="s">
        <v>688</v>
      </c>
      <c r="K13" s="11" t="s">
        <v>689</v>
      </c>
      <c r="L13" s="11" t="s">
        <v>690</v>
      </c>
      <c r="M13" s="11" t="s">
        <v>692</v>
      </c>
      <c r="N13" s="11" t="s">
        <v>694</v>
      </c>
      <c r="O13" s="11" t="s">
        <v>39</v>
      </c>
      <c r="P13" s="29" t="s">
        <v>695</v>
      </c>
    </row>
    <row r="14" spans="1:16" ht="110.4" customHeight="1">
      <c r="A14" s="11" t="s">
        <v>696</v>
      </c>
      <c r="B14" s="11">
        <v>5</v>
      </c>
      <c r="C14" s="11" t="s">
        <v>25</v>
      </c>
      <c r="D14" s="11" t="s">
        <v>697</v>
      </c>
      <c r="E14" s="11" t="s">
        <v>698</v>
      </c>
      <c r="F14" s="11" t="s">
        <v>699</v>
      </c>
      <c r="G14" s="11" t="s">
        <v>60</v>
      </c>
      <c r="H14" s="16">
        <v>1.5</v>
      </c>
      <c r="I14" s="11" t="s">
        <v>662</v>
      </c>
      <c r="J14" s="11" t="s">
        <v>700</v>
      </c>
      <c r="K14" s="11" t="s">
        <v>701</v>
      </c>
      <c r="L14" s="11" t="s">
        <v>702</v>
      </c>
      <c r="M14" s="11" t="s">
        <v>704</v>
      </c>
      <c r="N14" s="11" t="s">
        <v>707</v>
      </c>
      <c r="O14" s="11" t="s">
        <v>39</v>
      </c>
      <c r="P14" s="29" t="s">
        <v>708</v>
      </c>
    </row>
    <row r="15" spans="1:16" ht="193.8" customHeight="1">
      <c r="A15" s="11" t="s">
        <v>709</v>
      </c>
      <c r="B15" s="11">
        <v>6</v>
      </c>
      <c r="C15" s="11" t="s">
        <v>25</v>
      </c>
      <c r="D15" s="11" t="s">
        <v>710</v>
      </c>
      <c r="E15" s="11" t="s">
        <v>711</v>
      </c>
      <c r="F15" s="11" t="s">
        <v>712</v>
      </c>
      <c r="G15" s="11" t="s">
        <v>60</v>
      </c>
      <c r="H15" s="16">
        <v>1</v>
      </c>
      <c r="I15" s="11" t="s">
        <v>713</v>
      </c>
      <c r="J15" s="11" t="s">
        <v>714</v>
      </c>
      <c r="K15" s="11" t="s">
        <v>715</v>
      </c>
      <c r="L15" s="11" t="s">
        <v>716</v>
      </c>
      <c r="M15" s="11" t="s">
        <v>718</v>
      </c>
      <c r="N15" s="11" t="s">
        <v>721</v>
      </c>
      <c r="O15" s="11" t="s">
        <v>39</v>
      </c>
      <c r="P15" s="29" t="s">
        <v>722</v>
      </c>
    </row>
    <row r="16" spans="1:16" ht="124.2" customHeight="1">
      <c r="A16" s="11" t="s">
        <v>723</v>
      </c>
      <c r="B16" s="11">
        <v>7</v>
      </c>
      <c r="C16" s="11" t="s">
        <v>25</v>
      </c>
      <c r="D16" s="11" t="s">
        <v>724</v>
      </c>
      <c r="E16" s="11" t="s">
        <v>725</v>
      </c>
      <c r="F16" s="11" t="s">
        <v>726</v>
      </c>
      <c r="G16" s="11" t="s">
        <v>60</v>
      </c>
      <c r="H16" s="16">
        <v>1.5</v>
      </c>
      <c r="I16" s="11" t="s">
        <v>727</v>
      </c>
      <c r="J16" s="11" t="s">
        <v>728</v>
      </c>
      <c r="K16" s="11" t="s">
        <v>729</v>
      </c>
      <c r="L16" s="11" t="s">
        <v>730</v>
      </c>
      <c r="M16" s="11" t="s">
        <v>732</v>
      </c>
      <c r="N16" s="11" t="s">
        <v>734</v>
      </c>
      <c r="O16" s="11" t="s">
        <v>39</v>
      </c>
      <c r="P16" s="29" t="s">
        <v>735</v>
      </c>
    </row>
    <row r="17" spans="1:16" ht="193.8" customHeight="1">
      <c r="A17" s="11" t="s">
        <v>736</v>
      </c>
      <c r="B17" s="11">
        <v>8</v>
      </c>
      <c r="C17" s="11" t="s">
        <v>25</v>
      </c>
      <c r="D17" s="11" t="s">
        <v>737</v>
      </c>
      <c r="E17" s="11" t="s">
        <v>738</v>
      </c>
      <c r="F17" s="11" t="s">
        <v>739</v>
      </c>
      <c r="G17" s="11" t="s">
        <v>60</v>
      </c>
      <c r="H17" s="16">
        <v>1</v>
      </c>
      <c r="I17" s="11" t="s">
        <v>727</v>
      </c>
      <c r="J17" s="11" t="s">
        <v>37</v>
      </c>
      <c r="K17" s="11" t="s">
        <v>740</v>
      </c>
      <c r="L17" s="11" t="s">
        <v>741</v>
      </c>
      <c r="M17" s="11" t="s">
        <v>743</v>
      </c>
      <c r="N17" s="11" t="s">
        <v>744</v>
      </c>
      <c r="O17" s="11" t="s">
        <v>39</v>
      </c>
      <c r="P17" s="29" t="s">
        <v>745</v>
      </c>
    </row>
    <row r="18" spans="1:16" ht="110.4" customHeight="1">
      <c r="A18" s="11" t="s">
        <v>746</v>
      </c>
      <c r="B18" s="11">
        <v>9</v>
      </c>
      <c r="C18" s="11" t="s">
        <v>25</v>
      </c>
      <c r="D18" s="11" t="s">
        <v>747</v>
      </c>
      <c r="E18" s="11" t="s">
        <v>748</v>
      </c>
      <c r="F18" s="11" t="s">
        <v>749</v>
      </c>
      <c r="G18" s="11" t="s">
        <v>46</v>
      </c>
      <c r="H18" s="16">
        <v>1</v>
      </c>
      <c r="I18" s="11" t="s">
        <v>750</v>
      </c>
      <c r="J18" s="11" t="s">
        <v>558</v>
      </c>
      <c r="K18" s="11" t="s">
        <v>751</v>
      </c>
      <c r="L18" s="11" t="s">
        <v>752</v>
      </c>
      <c r="M18" s="11" t="s">
        <v>754</v>
      </c>
      <c r="N18" s="11" t="s">
        <v>756</v>
      </c>
      <c r="O18" s="11" t="s">
        <v>39</v>
      </c>
      <c r="P18" s="29" t="s">
        <v>757</v>
      </c>
    </row>
    <row r="19" spans="1:16" ht="124.2" customHeight="1">
      <c r="A19" s="11" t="s">
        <v>758</v>
      </c>
      <c r="B19" s="11">
        <v>10</v>
      </c>
      <c r="C19" s="11" t="s">
        <v>25</v>
      </c>
      <c r="D19" s="11" t="s">
        <v>759</v>
      </c>
      <c r="E19" s="11" t="s">
        <v>760</v>
      </c>
      <c r="F19" s="11" t="s">
        <v>761</v>
      </c>
      <c r="G19" s="11" t="s">
        <v>29</v>
      </c>
      <c r="H19" s="16">
        <v>1.5</v>
      </c>
      <c r="I19" s="11" t="s">
        <v>750</v>
      </c>
      <c r="J19" s="11" t="s">
        <v>305</v>
      </c>
      <c r="K19" s="11" t="s">
        <v>762</v>
      </c>
      <c r="L19" s="11" t="s">
        <v>763</v>
      </c>
      <c r="M19" s="11" t="s">
        <v>765</v>
      </c>
      <c r="N19" s="11" t="s">
        <v>766</v>
      </c>
      <c r="O19" s="11" t="s">
        <v>39</v>
      </c>
      <c r="P19" s="29" t="s">
        <v>767</v>
      </c>
    </row>
    <row r="20" spans="1:16" ht="110.4" customHeight="1">
      <c r="A20" s="11" t="s">
        <v>768</v>
      </c>
      <c r="B20" s="11">
        <v>11</v>
      </c>
      <c r="C20" s="11" t="s">
        <v>25</v>
      </c>
      <c r="D20" s="11" t="s">
        <v>769</v>
      </c>
      <c r="E20" s="11" t="s">
        <v>770</v>
      </c>
      <c r="F20" s="11" t="s">
        <v>771</v>
      </c>
      <c r="G20" s="11" t="s">
        <v>46</v>
      </c>
      <c r="H20" s="16">
        <v>0.75</v>
      </c>
      <c r="I20" s="11" t="s">
        <v>750</v>
      </c>
      <c r="J20" s="11" t="s">
        <v>305</v>
      </c>
      <c r="K20" s="11" t="s">
        <v>772</v>
      </c>
      <c r="L20" s="11" t="s">
        <v>773</v>
      </c>
      <c r="M20" s="11" t="s">
        <v>775</v>
      </c>
      <c r="N20" s="11" t="s">
        <v>777</v>
      </c>
      <c r="O20" s="11" t="s">
        <v>39</v>
      </c>
      <c r="P20" s="29" t="s">
        <v>778</v>
      </c>
    </row>
    <row r="21" spans="1:16" ht="193.8" customHeight="1">
      <c r="A21" s="11" t="s">
        <v>779</v>
      </c>
      <c r="B21" s="11">
        <v>12</v>
      </c>
      <c r="C21" s="11" t="s">
        <v>25</v>
      </c>
      <c r="D21" s="11" t="s">
        <v>780</v>
      </c>
      <c r="E21" s="11" t="s">
        <v>781</v>
      </c>
      <c r="F21" s="11" t="s">
        <v>782</v>
      </c>
      <c r="G21" s="11" t="s">
        <v>46</v>
      </c>
      <c r="H21" s="16">
        <v>1</v>
      </c>
      <c r="I21" s="11" t="s">
        <v>750</v>
      </c>
      <c r="J21" s="11" t="s">
        <v>159</v>
      </c>
      <c r="K21" s="11" t="s">
        <v>783</v>
      </c>
      <c r="L21" s="11" t="s">
        <v>784</v>
      </c>
      <c r="M21" s="11" t="s">
        <v>786</v>
      </c>
      <c r="N21" s="11" t="s">
        <v>787</v>
      </c>
      <c r="O21" s="11" t="s">
        <v>39</v>
      </c>
      <c r="P21" s="29" t="s">
        <v>788</v>
      </c>
    </row>
    <row r="22" spans="1:16" ht="110.4" customHeight="1">
      <c r="A22" s="11" t="s">
        <v>789</v>
      </c>
      <c r="B22" s="11">
        <v>13</v>
      </c>
      <c r="C22" s="11" t="s">
        <v>25</v>
      </c>
      <c r="D22" s="11" t="s">
        <v>168</v>
      </c>
      <c r="E22" s="11" t="s">
        <v>790</v>
      </c>
      <c r="F22" s="11" t="s">
        <v>791</v>
      </c>
      <c r="G22" s="11" t="s">
        <v>29</v>
      </c>
      <c r="H22" s="16">
        <v>0.75</v>
      </c>
      <c r="I22" s="11" t="s">
        <v>792</v>
      </c>
      <c r="J22" s="11" t="s">
        <v>793</v>
      </c>
      <c r="K22" s="11" t="s">
        <v>794</v>
      </c>
      <c r="L22" s="11" t="s">
        <v>795</v>
      </c>
      <c r="M22" s="11" t="s">
        <v>797</v>
      </c>
      <c r="N22" s="11" t="s">
        <v>799</v>
      </c>
      <c r="O22" s="11" t="s">
        <v>39</v>
      </c>
      <c r="P22" s="29" t="s">
        <v>801</v>
      </c>
    </row>
    <row r="23" spans="1:16" ht="24" customHeight="1">
      <c r="A23" s="24" t="s">
        <v>802</v>
      </c>
      <c r="B23" s="24">
        <v>14</v>
      </c>
      <c r="C23" s="24" t="s">
        <v>25</v>
      </c>
      <c r="D23" s="24" t="s">
        <v>182</v>
      </c>
      <c r="E23" s="24" t="s">
        <v>803</v>
      </c>
      <c r="F23" s="24" t="s">
        <v>804</v>
      </c>
      <c r="G23" s="24" t="s">
        <v>46</v>
      </c>
      <c r="H23">
        <v>1</v>
      </c>
      <c r="I23" t="s">
        <v>185</v>
      </c>
      <c r="J23" t="s">
        <v>37</v>
      </c>
      <c r="K23" t="s">
        <v>805</v>
      </c>
      <c r="L23" t="s">
        <v>806</v>
      </c>
      <c r="M23" t="s">
        <v>807</v>
      </c>
      <c r="N23" t="s">
        <v>191</v>
      </c>
      <c r="O23" s="11" t="s">
        <v>39</v>
      </c>
      <c r="P23" s="29" t="s">
        <v>810</v>
      </c>
    </row>
    <row r="24" spans="1:16" ht="34.049999999999997" customHeight="1">
      <c r="A24" s="83"/>
      <c r="B24" s="70"/>
      <c r="C24" s="70"/>
      <c r="D24" s="70"/>
      <c r="E24" s="70"/>
      <c r="F24" s="70"/>
      <c r="G24" s="70"/>
      <c r="H24" s="70"/>
      <c r="I24" s="70"/>
      <c r="J24" s="70"/>
      <c r="K24" s="70"/>
      <c r="L24" s="70"/>
      <c r="M24" s="70"/>
      <c r="N24" s="70"/>
      <c r="O24" s="71"/>
    </row>
    <row r="25" spans="1:16" ht="48" customHeight="1">
      <c r="A25" s="32" t="s">
        <v>1040</v>
      </c>
      <c r="B25" s="32"/>
      <c r="C25" s="32"/>
      <c r="D25" s="32"/>
      <c r="E25" s="32"/>
      <c r="F25" s="32"/>
      <c r="G25" s="32"/>
      <c r="H25" s="31"/>
      <c r="I25" s="31"/>
      <c r="J25" s="31"/>
      <c r="K25" s="31"/>
      <c r="L25" s="31"/>
      <c r="M25" s="31"/>
      <c r="N25" s="31"/>
      <c r="O25" s="31"/>
      <c r="P25" s="31"/>
    </row>
    <row r="26" spans="1:16" ht="48" customHeight="1">
      <c r="A26" s="33" t="s">
        <v>1041</v>
      </c>
      <c r="B26" s="33" t="s">
        <v>11</v>
      </c>
      <c r="C26" s="33" t="s">
        <v>1042</v>
      </c>
      <c r="D26" s="33" t="s">
        <v>1043</v>
      </c>
      <c r="E26" s="33" t="s">
        <v>1044</v>
      </c>
      <c r="F26" s="33" t="s">
        <v>1045</v>
      </c>
      <c r="G26" s="33" t="s">
        <v>1046</v>
      </c>
    </row>
    <row r="27" spans="1:16" ht="52.05" customHeight="1">
      <c r="A27" s="34">
        <v>1</v>
      </c>
      <c r="B27" s="34" t="s">
        <v>649</v>
      </c>
      <c r="C27" s="34" t="s">
        <v>1156</v>
      </c>
      <c r="D27" s="34" t="s">
        <v>1157</v>
      </c>
      <c r="E27" s="34" t="s">
        <v>1158</v>
      </c>
      <c r="F27" s="34" t="s">
        <v>1159</v>
      </c>
      <c r="G27" s="34" t="s">
        <v>1051</v>
      </c>
    </row>
    <row r="28" spans="1:16" ht="52.05" customHeight="1">
      <c r="A28" s="22">
        <v>2</v>
      </c>
      <c r="B28" s="22" t="s">
        <v>662</v>
      </c>
      <c r="C28" s="22" t="s">
        <v>1160</v>
      </c>
      <c r="D28" s="22" t="s">
        <v>1161</v>
      </c>
      <c r="E28" s="22" t="s">
        <v>1162</v>
      </c>
      <c r="F28" s="22" t="s">
        <v>1163</v>
      </c>
      <c r="G28" s="22" t="s">
        <v>1060</v>
      </c>
    </row>
    <row r="29" spans="1:16" ht="52.05" customHeight="1">
      <c r="A29" s="34">
        <v>3</v>
      </c>
      <c r="B29" s="34" t="s">
        <v>727</v>
      </c>
      <c r="C29" s="34" t="s">
        <v>1164</v>
      </c>
      <c r="D29" s="34" t="s">
        <v>1165</v>
      </c>
      <c r="E29" s="34" t="s">
        <v>1166</v>
      </c>
      <c r="F29" s="34" t="s">
        <v>1167</v>
      </c>
      <c r="G29" s="34" t="s">
        <v>1060</v>
      </c>
    </row>
    <row r="30" spans="1:16" ht="52.05" customHeight="1">
      <c r="A30" s="22">
        <v>4</v>
      </c>
      <c r="B30" s="22" t="s">
        <v>713</v>
      </c>
      <c r="C30" s="22" t="s">
        <v>1168</v>
      </c>
      <c r="D30" s="22" t="s">
        <v>1169</v>
      </c>
      <c r="E30" s="22" t="s">
        <v>1170</v>
      </c>
      <c r="F30" s="22" t="s">
        <v>1171</v>
      </c>
      <c r="G30" s="22" t="s">
        <v>1060</v>
      </c>
    </row>
    <row r="31" spans="1:16" ht="52.05" customHeight="1">
      <c r="A31" s="35">
        <v>5</v>
      </c>
      <c r="B31" s="35" t="s">
        <v>750</v>
      </c>
      <c r="C31" s="35" t="s">
        <v>1172</v>
      </c>
      <c r="D31" s="35" t="s">
        <v>1173</v>
      </c>
      <c r="E31" s="35" t="s">
        <v>1174</v>
      </c>
      <c r="F31" s="35" t="s">
        <v>1175</v>
      </c>
      <c r="G31" s="35" t="s">
        <v>1060</v>
      </c>
    </row>
    <row r="32" spans="1:16" ht="52.05" customHeight="1">
      <c r="A32" s="35">
        <v>6</v>
      </c>
      <c r="B32" s="35" t="s">
        <v>792</v>
      </c>
      <c r="C32" s="35" t="s">
        <v>1073</v>
      </c>
      <c r="D32" s="35" t="s">
        <v>1074</v>
      </c>
      <c r="E32" s="35" t="s">
        <v>1176</v>
      </c>
      <c r="F32" s="35" t="s">
        <v>797</v>
      </c>
      <c r="G32" s="35" t="s">
        <v>1051</v>
      </c>
    </row>
    <row r="33" spans="1:7" ht="52.05" customHeight="1">
      <c r="A33" s="35">
        <v>7</v>
      </c>
      <c r="B33" s="35" t="s">
        <v>185</v>
      </c>
      <c r="C33" s="35" t="s">
        <v>1177</v>
      </c>
      <c r="D33" s="35" t="s">
        <v>1077</v>
      </c>
      <c r="E33" s="35" t="s">
        <v>1078</v>
      </c>
      <c r="F33" s="35" t="s">
        <v>1178</v>
      </c>
      <c r="G33" s="35" t="s">
        <v>1080</v>
      </c>
    </row>
  </sheetData>
  <mergeCells count="9">
    <mergeCell ref="A4:B4"/>
    <mergeCell ref="A24:O24"/>
    <mergeCell ref="A2:O2"/>
    <mergeCell ref="G5:O6"/>
    <mergeCell ref="A1:O1"/>
    <mergeCell ref="A5:B6"/>
    <mergeCell ref="D5:E6"/>
    <mergeCell ref="D4:E4"/>
    <mergeCell ref="G4:O4"/>
  </mergeCells>
  <conditionalFormatting sqref="O10:O23">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3"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1179</v>
      </c>
      <c r="B1" s="58"/>
      <c r="C1" s="58"/>
      <c r="D1" s="58"/>
      <c r="E1" s="58"/>
      <c r="F1" s="58"/>
      <c r="G1" s="58"/>
      <c r="H1" s="58"/>
      <c r="I1" s="58"/>
      <c r="J1" s="58"/>
      <c r="K1" s="58"/>
      <c r="L1" s="58"/>
      <c r="M1" s="58"/>
      <c r="N1" s="58"/>
      <c r="O1" s="58"/>
    </row>
    <row r="2" spans="1:16" ht="31.95" customHeight="1">
      <c r="A2" s="59" t="s">
        <v>1180</v>
      </c>
      <c r="B2" s="58"/>
      <c r="C2" s="58"/>
      <c r="D2" s="58"/>
      <c r="E2" s="58"/>
      <c r="F2" s="58"/>
      <c r="G2" s="58"/>
      <c r="H2" s="58"/>
      <c r="I2" s="58"/>
      <c r="J2" s="58"/>
      <c r="K2" s="58"/>
      <c r="L2" s="58"/>
      <c r="M2" s="58"/>
      <c r="N2" s="58"/>
      <c r="O2" s="58"/>
    </row>
    <row r="4" spans="1:16" ht="28.05" customHeight="1">
      <c r="A4" s="69" t="s">
        <v>1020</v>
      </c>
      <c r="B4" s="71"/>
      <c r="D4" s="69" t="s">
        <v>1014</v>
      </c>
      <c r="E4" s="71"/>
      <c r="G4" s="69" t="s">
        <v>1029</v>
      </c>
      <c r="H4" s="70"/>
      <c r="I4" s="70"/>
      <c r="J4" s="70"/>
      <c r="K4" s="70"/>
      <c r="L4" s="70"/>
      <c r="M4" s="70"/>
      <c r="N4" s="70"/>
      <c r="O4" s="71"/>
    </row>
    <row r="5" spans="1:16">
      <c r="A5" s="81">
        <f>IF(COUNTA(O10:O40)=0,0,COUNTIF(O10:O40,"Done")/COUNTA(A10:A40))</f>
        <v>0</v>
      </c>
      <c r="B5" s="62"/>
      <c r="D5" s="82">
        <f>COUNTIF(O10:O40,"Blocked")</f>
        <v>0</v>
      </c>
      <c r="E5" s="62"/>
      <c r="G5" s="79" t="s">
        <v>1181</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110.4" customHeight="1">
      <c r="A10" s="10" t="s">
        <v>811</v>
      </c>
      <c r="B10" s="10">
        <v>1</v>
      </c>
      <c r="C10" s="10" t="s">
        <v>25</v>
      </c>
      <c r="D10" s="10" t="s">
        <v>813</v>
      </c>
      <c r="E10" s="10" t="s">
        <v>814</v>
      </c>
      <c r="F10" s="10" t="s">
        <v>815</v>
      </c>
      <c r="G10" s="10" t="s">
        <v>46</v>
      </c>
      <c r="H10" s="15">
        <v>0.75</v>
      </c>
      <c r="I10" s="10" t="s">
        <v>727</v>
      </c>
      <c r="J10" s="10" t="s">
        <v>816</v>
      </c>
      <c r="K10" s="10" t="s">
        <v>817</v>
      </c>
      <c r="L10" s="10" t="s">
        <v>818</v>
      </c>
      <c r="M10" s="10" t="s">
        <v>820</v>
      </c>
      <c r="N10" s="10" t="s">
        <v>822</v>
      </c>
      <c r="O10" s="10" t="s">
        <v>800</v>
      </c>
      <c r="P10" s="29" t="s">
        <v>823</v>
      </c>
    </row>
    <row r="11" spans="1:16" ht="124.2" customHeight="1">
      <c r="A11" s="11" t="s">
        <v>824</v>
      </c>
      <c r="B11" s="11">
        <v>2</v>
      </c>
      <c r="C11" s="11" t="s">
        <v>25</v>
      </c>
      <c r="D11" s="11" t="s">
        <v>825</v>
      </c>
      <c r="E11" s="11" t="s">
        <v>826</v>
      </c>
      <c r="F11" s="11" t="s">
        <v>827</v>
      </c>
      <c r="G11" s="11" t="s">
        <v>60</v>
      </c>
      <c r="H11" s="16">
        <v>1.5</v>
      </c>
      <c r="I11" s="11" t="s">
        <v>828</v>
      </c>
      <c r="J11" s="11" t="s">
        <v>816</v>
      </c>
      <c r="K11" s="11" t="s">
        <v>829</v>
      </c>
      <c r="L11" s="11" t="s">
        <v>830</v>
      </c>
      <c r="M11" s="11" t="s">
        <v>832</v>
      </c>
      <c r="N11" s="11" t="s">
        <v>834</v>
      </c>
      <c r="O11" s="11" t="s">
        <v>800</v>
      </c>
      <c r="P11" s="29" t="s">
        <v>835</v>
      </c>
    </row>
    <row r="12" spans="1:16" ht="110.4" customHeight="1">
      <c r="A12" s="11" t="s">
        <v>836</v>
      </c>
      <c r="B12" s="11">
        <v>3</v>
      </c>
      <c r="C12" s="11" t="s">
        <v>25</v>
      </c>
      <c r="D12" s="11" t="s">
        <v>837</v>
      </c>
      <c r="E12" s="11" t="s">
        <v>838</v>
      </c>
      <c r="F12" s="11" t="s">
        <v>839</v>
      </c>
      <c r="G12" s="11" t="s">
        <v>60</v>
      </c>
      <c r="H12" s="16">
        <v>1</v>
      </c>
      <c r="I12" s="11" t="s">
        <v>828</v>
      </c>
      <c r="J12" s="11" t="s">
        <v>840</v>
      </c>
      <c r="K12" s="11" t="s">
        <v>841</v>
      </c>
      <c r="L12" s="11" t="s">
        <v>842</v>
      </c>
      <c r="M12" s="11" t="s">
        <v>844</v>
      </c>
      <c r="N12" s="11" t="s">
        <v>846</v>
      </c>
      <c r="O12" s="11" t="s">
        <v>800</v>
      </c>
      <c r="P12" s="29" t="s">
        <v>847</v>
      </c>
    </row>
    <row r="13" spans="1:16" ht="110.4" customHeight="1">
      <c r="A13" s="11" t="s">
        <v>848</v>
      </c>
      <c r="B13" s="11">
        <v>4</v>
      </c>
      <c r="C13" s="11" t="s">
        <v>25</v>
      </c>
      <c r="D13" s="11" t="s">
        <v>849</v>
      </c>
      <c r="E13" s="11" t="s">
        <v>850</v>
      </c>
      <c r="F13" s="11" t="s">
        <v>851</v>
      </c>
      <c r="G13" s="11" t="s">
        <v>60</v>
      </c>
      <c r="H13" s="16">
        <v>1</v>
      </c>
      <c r="I13" s="11" t="s">
        <v>828</v>
      </c>
      <c r="J13" s="11" t="s">
        <v>852</v>
      </c>
      <c r="K13" s="11" t="s">
        <v>853</v>
      </c>
      <c r="L13" s="11" t="s">
        <v>854</v>
      </c>
      <c r="M13" s="11" t="s">
        <v>856</v>
      </c>
      <c r="N13" s="11" t="s">
        <v>858</v>
      </c>
      <c r="O13" s="11" t="s">
        <v>800</v>
      </c>
      <c r="P13" s="29" t="s">
        <v>859</v>
      </c>
    </row>
    <row r="14" spans="1:16" ht="110.4" customHeight="1">
      <c r="A14" s="11" t="s">
        <v>860</v>
      </c>
      <c r="B14" s="11">
        <v>5</v>
      </c>
      <c r="C14" s="11" t="s">
        <v>25</v>
      </c>
      <c r="D14" s="11" t="s">
        <v>861</v>
      </c>
      <c r="E14" s="11" t="s">
        <v>862</v>
      </c>
      <c r="F14" s="11" t="s">
        <v>863</v>
      </c>
      <c r="G14" s="11" t="s">
        <v>60</v>
      </c>
      <c r="H14" s="16">
        <v>1</v>
      </c>
      <c r="I14" s="11" t="s">
        <v>828</v>
      </c>
      <c r="J14" s="11" t="s">
        <v>458</v>
      </c>
      <c r="K14" s="11" t="s">
        <v>864</v>
      </c>
      <c r="L14" s="11" t="s">
        <v>830</v>
      </c>
      <c r="M14" s="11" t="s">
        <v>866</v>
      </c>
      <c r="N14" s="11" t="s">
        <v>867</v>
      </c>
      <c r="O14" s="11" t="s">
        <v>800</v>
      </c>
      <c r="P14" s="29" t="s">
        <v>868</v>
      </c>
    </row>
    <row r="15" spans="1:16" ht="124.2" customHeight="1">
      <c r="A15" s="11" t="s">
        <v>869</v>
      </c>
      <c r="B15" s="11">
        <v>6</v>
      </c>
      <c r="C15" s="11" t="s">
        <v>25</v>
      </c>
      <c r="D15" s="11" t="s">
        <v>870</v>
      </c>
      <c r="E15" s="11" t="s">
        <v>871</v>
      </c>
      <c r="F15" s="11" t="s">
        <v>872</v>
      </c>
      <c r="G15" s="11" t="s">
        <v>60</v>
      </c>
      <c r="H15" s="16">
        <v>1.25</v>
      </c>
      <c r="I15" s="11" t="s">
        <v>873</v>
      </c>
      <c r="J15" s="11" t="s">
        <v>446</v>
      </c>
      <c r="K15" s="11" t="s">
        <v>874</v>
      </c>
      <c r="L15" s="11" t="s">
        <v>581</v>
      </c>
      <c r="M15" s="11" t="s">
        <v>876</v>
      </c>
      <c r="N15" s="11" t="s">
        <v>878</v>
      </c>
      <c r="O15" s="11" t="s">
        <v>800</v>
      </c>
      <c r="P15" s="29" t="s">
        <v>879</v>
      </c>
    </row>
    <row r="16" spans="1:16" ht="110.4" customHeight="1">
      <c r="A16" s="11" t="s">
        <v>880</v>
      </c>
      <c r="B16" s="11">
        <v>7</v>
      </c>
      <c r="C16" s="11" t="s">
        <v>25</v>
      </c>
      <c r="D16" s="11" t="s">
        <v>881</v>
      </c>
      <c r="E16" s="11" t="s">
        <v>882</v>
      </c>
      <c r="F16" s="11" t="s">
        <v>883</v>
      </c>
      <c r="G16" s="11" t="s">
        <v>46</v>
      </c>
      <c r="H16" s="16">
        <v>1</v>
      </c>
      <c r="I16" s="11" t="s">
        <v>873</v>
      </c>
      <c r="J16" s="11" t="s">
        <v>884</v>
      </c>
      <c r="K16" s="11" t="s">
        <v>885</v>
      </c>
      <c r="L16" s="11" t="s">
        <v>886</v>
      </c>
      <c r="M16" s="11" t="s">
        <v>888</v>
      </c>
      <c r="N16" s="11" t="s">
        <v>889</v>
      </c>
      <c r="O16" s="11" t="s">
        <v>800</v>
      </c>
      <c r="P16" s="29" t="s">
        <v>890</v>
      </c>
    </row>
    <row r="17" spans="1:16" ht="110.4" customHeight="1">
      <c r="A17" s="11" t="s">
        <v>891</v>
      </c>
      <c r="B17" s="11">
        <v>8</v>
      </c>
      <c r="C17" s="11" t="s">
        <v>25</v>
      </c>
      <c r="D17" s="11" t="s">
        <v>892</v>
      </c>
      <c r="E17" s="11" t="s">
        <v>893</v>
      </c>
      <c r="F17" s="11" t="s">
        <v>894</v>
      </c>
      <c r="G17" s="11" t="s">
        <v>895</v>
      </c>
      <c r="H17" s="16">
        <v>1</v>
      </c>
      <c r="I17" s="11" t="s">
        <v>873</v>
      </c>
      <c r="J17" s="11" t="s">
        <v>446</v>
      </c>
      <c r="K17" s="11" t="s">
        <v>896</v>
      </c>
      <c r="L17" s="11" t="s">
        <v>897</v>
      </c>
      <c r="M17" s="11" t="s">
        <v>899</v>
      </c>
      <c r="N17" s="11" t="s">
        <v>902</v>
      </c>
      <c r="O17" s="11" t="s">
        <v>800</v>
      </c>
      <c r="P17" s="29" t="s">
        <v>903</v>
      </c>
    </row>
    <row r="18" spans="1:16" ht="110.4" customHeight="1">
      <c r="A18" s="11" t="s">
        <v>904</v>
      </c>
      <c r="B18" s="11">
        <v>9</v>
      </c>
      <c r="C18" s="11" t="s">
        <v>25</v>
      </c>
      <c r="D18" s="11" t="s">
        <v>905</v>
      </c>
      <c r="E18" s="11" t="s">
        <v>906</v>
      </c>
      <c r="F18" s="11" t="s">
        <v>907</v>
      </c>
      <c r="G18" s="11" t="s">
        <v>46</v>
      </c>
      <c r="H18" s="16">
        <v>1</v>
      </c>
      <c r="I18" s="11" t="s">
        <v>873</v>
      </c>
      <c r="J18" s="11" t="s">
        <v>908</v>
      </c>
      <c r="K18" s="11" t="s">
        <v>909</v>
      </c>
      <c r="L18" s="11" t="s">
        <v>910</v>
      </c>
      <c r="M18" s="11" t="s">
        <v>912</v>
      </c>
      <c r="N18" s="11" t="s">
        <v>914</v>
      </c>
      <c r="O18" s="11" t="s">
        <v>800</v>
      </c>
      <c r="P18" s="29" t="s">
        <v>915</v>
      </c>
    </row>
    <row r="19" spans="1:16" ht="124.2" customHeight="1">
      <c r="A19" s="11" t="s">
        <v>916</v>
      </c>
      <c r="B19" s="11">
        <v>10</v>
      </c>
      <c r="C19" s="11" t="s">
        <v>25</v>
      </c>
      <c r="D19" s="11" t="s">
        <v>917</v>
      </c>
      <c r="E19" s="11" t="s">
        <v>918</v>
      </c>
      <c r="F19" s="11" t="s">
        <v>919</v>
      </c>
      <c r="G19" s="11" t="s">
        <v>46</v>
      </c>
      <c r="H19" s="16">
        <v>1.25</v>
      </c>
      <c r="I19" s="11" t="s">
        <v>920</v>
      </c>
      <c r="J19" s="11" t="s">
        <v>423</v>
      </c>
      <c r="K19" s="11" t="s">
        <v>921</v>
      </c>
      <c r="L19" s="11" t="s">
        <v>922</v>
      </c>
      <c r="M19" s="11" t="s">
        <v>924</v>
      </c>
      <c r="N19" s="11" t="s">
        <v>926</v>
      </c>
      <c r="O19" s="11" t="s">
        <v>800</v>
      </c>
      <c r="P19" s="29" t="s">
        <v>927</v>
      </c>
    </row>
    <row r="20" spans="1:16" ht="193.8" customHeight="1">
      <c r="A20" s="11" t="s">
        <v>928</v>
      </c>
      <c r="B20" s="11">
        <v>11</v>
      </c>
      <c r="C20" s="11" t="s">
        <v>25</v>
      </c>
      <c r="D20" s="11" t="s">
        <v>929</v>
      </c>
      <c r="E20" s="11" t="s">
        <v>930</v>
      </c>
      <c r="F20" s="11" t="s">
        <v>931</v>
      </c>
      <c r="G20" s="11" t="s">
        <v>29</v>
      </c>
      <c r="H20" s="16">
        <v>0.75</v>
      </c>
      <c r="I20" s="11" t="s">
        <v>920</v>
      </c>
      <c r="J20" s="11" t="s">
        <v>305</v>
      </c>
      <c r="K20" s="11" t="s">
        <v>932</v>
      </c>
      <c r="L20" s="11" t="s">
        <v>933</v>
      </c>
      <c r="M20" s="11" t="s">
        <v>935</v>
      </c>
      <c r="N20" s="11" t="s">
        <v>936</v>
      </c>
      <c r="O20" s="11" t="s">
        <v>800</v>
      </c>
      <c r="P20" s="29" t="s">
        <v>937</v>
      </c>
    </row>
    <row r="21" spans="1:16" ht="110.4" customHeight="1">
      <c r="A21" s="11" t="s">
        <v>938</v>
      </c>
      <c r="B21" s="11">
        <v>12</v>
      </c>
      <c r="C21" s="11" t="s">
        <v>25</v>
      </c>
      <c r="D21" s="11" t="s">
        <v>939</v>
      </c>
      <c r="E21" s="11" t="s">
        <v>940</v>
      </c>
      <c r="F21" s="11" t="s">
        <v>941</v>
      </c>
      <c r="G21" s="11" t="s">
        <v>29</v>
      </c>
      <c r="H21" s="16">
        <v>1.25</v>
      </c>
      <c r="I21" s="11" t="s">
        <v>750</v>
      </c>
      <c r="J21" s="11" t="s">
        <v>147</v>
      </c>
      <c r="K21" s="11" t="s">
        <v>942</v>
      </c>
      <c r="L21" s="11" t="s">
        <v>943</v>
      </c>
      <c r="M21" s="11" t="s">
        <v>945</v>
      </c>
      <c r="N21" s="11" t="s">
        <v>947</v>
      </c>
      <c r="O21" s="11" t="s">
        <v>800</v>
      </c>
      <c r="P21" s="29" t="s">
        <v>948</v>
      </c>
    </row>
    <row r="22" spans="1:16" ht="124.2" customHeight="1">
      <c r="A22" s="11" t="s">
        <v>949</v>
      </c>
      <c r="B22" s="11">
        <v>13</v>
      </c>
      <c r="C22" s="11" t="s">
        <v>25</v>
      </c>
      <c r="D22" s="11" t="s">
        <v>950</v>
      </c>
      <c r="E22" s="11" t="s">
        <v>951</v>
      </c>
      <c r="F22" s="11" t="s">
        <v>952</v>
      </c>
      <c r="G22" s="11" t="s">
        <v>29</v>
      </c>
      <c r="H22" s="16">
        <v>1</v>
      </c>
      <c r="I22" s="11" t="s">
        <v>920</v>
      </c>
      <c r="J22" s="11" t="s">
        <v>37</v>
      </c>
      <c r="K22" s="11" t="s">
        <v>953</v>
      </c>
      <c r="L22" s="11" t="s">
        <v>954</v>
      </c>
      <c r="M22" s="11" t="s">
        <v>956</v>
      </c>
      <c r="N22" s="11" t="s">
        <v>958</v>
      </c>
      <c r="O22" s="11" t="s">
        <v>800</v>
      </c>
      <c r="P22" s="29" t="s">
        <v>959</v>
      </c>
    </row>
    <row r="23" spans="1:16" ht="24" customHeight="1">
      <c r="A23" s="24" t="s">
        <v>960</v>
      </c>
      <c r="B23" s="24">
        <v>14</v>
      </c>
      <c r="C23" s="24" t="s">
        <v>25</v>
      </c>
      <c r="D23" s="24" t="s">
        <v>182</v>
      </c>
      <c r="E23" s="24" t="s">
        <v>961</v>
      </c>
      <c r="F23" s="24" t="s">
        <v>962</v>
      </c>
      <c r="G23" s="24" t="s">
        <v>46</v>
      </c>
      <c r="H23">
        <v>1.5</v>
      </c>
      <c r="I23" t="s">
        <v>185</v>
      </c>
      <c r="J23" t="s">
        <v>37</v>
      </c>
      <c r="K23" t="s">
        <v>963</v>
      </c>
      <c r="L23" t="s">
        <v>964</v>
      </c>
      <c r="M23" t="s">
        <v>966</v>
      </c>
      <c r="N23" t="s">
        <v>191</v>
      </c>
      <c r="O23" t="s">
        <v>800</v>
      </c>
      <c r="P23" s="29" t="s">
        <v>969</v>
      </c>
    </row>
    <row r="24" spans="1:16" ht="34.049999999999997" customHeight="1">
      <c r="A24" s="83"/>
      <c r="B24" s="70"/>
      <c r="C24" s="70"/>
      <c r="D24" s="70"/>
      <c r="E24" s="70"/>
      <c r="F24" s="70"/>
      <c r="G24" s="70"/>
      <c r="H24" s="70"/>
      <c r="I24" s="70"/>
      <c r="J24" s="70"/>
      <c r="K24" s="70"/>
      <c r="L24" s="70"/>
      <c r="M24" s="70"/>
      <c r="N24" s="70"/>
      <c r="O24" s="71"/>
    </row>
    <row r="25" spans="1:16" ht="48" customHeight="1">
      <c r="A25" s="32" t="s">
        <v>1040</v>
      </c>
      <c r="B25" s="32"/>
      <c r="C25" s="32"/>
      <c r="D25" s="32"/>
      <c r="E25" s="32"/>
      <c r="F25" s="32"/>
      <c r="G25" s="32"/>
      <c r="H25" s="31"/>
      <c r="I25" s="31"/>
      <c r="J25" s="31"/>
      <c r="K25" s="31"/>
      <c r="L25" s="31"/>
      <c r="M25" s="31"/>
      <c r="N25" s="31"/>
      <c r="O25" s="31"/>
      <c r="P25" s="31"/>
    </row>
    <row r="26" spans="1:16" ht="48" customHeight="1">
      <c r="A26" s="33" t="s">
        <v>1041</v>
      </c>
      <c r="B26" s="33" t="s">
        <v>11</v>
      </c>
      <c r="C26" s="33" t="s">
        <v>1042</v>
      </c>
      <c r="D26" s="33" t="s">
        <v>1043</v>
      </c>
      <c r="E26" s="33" t="s">
        <v>1044</v>
      </c>
      <c r="F26" s="33" t="s">
        <v>1045</v>
      </c>
      <c r="G26" s="33" t="s">
        <v>1046</v>
      </c>
    </row>
    <row r="27" spans="1:16" ht="52.05" customHeight="1">
      <c r="A27" s="34">
        <v>1</v>
      </c>
      <c r="B27" s="34" t="s">
        <v>828</v>
      </c>
      <c r="C27" s="34" t="s">
        <v>1182</v>
      </c>
      <c r="D27" s="34" t="s">
        <v>1183</v>
      </c>
      <c r="E27" s="34" t="s">
        <v>1184</v>
      </c>
      <c r="F27" s="34" t="s">
        <v>1185</v>
      </c>
      <c r="G27" s="34" t="s">
        <v>1060</v>
      </c>
    </row>
    <row r="28" spans="1:16" ht="52.05" customHeight="1">
      <c r="A28" s="35">
        <v>2</v>
      </c>
      <c r="B28" s="35" t="s">
        <v>873</v>
      </c>
      <c r="C28" s="35" t="s">
        <v>1186</v>
      </c>
      <c r="D28" s="35" t="s">
        <v>1187</v>
      </c>
      <c r="E28" s="35" t="s">
        <v>1188</v>
      </c>
      <c r="F28" s="35" t="s">
        <v>1189</v>
      </c>
      <c r="G28" s="35" t="s">
        <v>1060</v>
      </c>
    </row>
    <row r="29" spans="1:16" ht="52.05" customHeight="1">
      <c r="A29" s="35">
        <v>3</v>
      </c>
      <c r="B29" s="35" t="s">
        <v>920</v>
      </c>
      <c r="C29" s="35" t="s">
        <v>1190</v>
      </c>
      <c r="D29" s="35" t="s">
        <v>1191</v>
      </c>
      <c r="E29" s="35" t="s">
        <v>1192</v>
      </c>
      <c r="F29" s="35" t="s">
        <v>1193</v>
      </c>
      <c r="G29" s="35" t="s">
        <v>1060</v>
      </c>
    </row>
    <row r="30" spans="1:16" ht="52.05" customHeight="1">
      <c r="A30" s="35">
        <v>4</v>
      </c>
      <c r="B30" s="35" t="s">
        <v>185</v>
      </c>
      <c r="C30" s="35" t="s">
        <v>1194</v>
      </c>
      <c r="D30" s="35" t="s">
        <v>1077</v>
      </c>
      <c r="E30" s="35" t="s">
        <v>1078</v>
      </c>
      <c r="F30" s="35" t="s">
        <v>1195</v>
      </c>
      <c r="G30" s="35" t="s">
        <v>1080</v>
      </c>
    </row>
  </sheetData>
  <mergeCells count="9">
    <mergeCell ref="A4:B4"/>
    <mergeCell ref="A24:O24"/>
    <mergeCell ref="A2:O2"/>
    <mergeCell ref="G5:O6"/>
    <mergeCell ref="A1:O1"/>
    <mergeCell ref="A5:B6"/>
    <mergeCell ref="D5:E6"/>
    <mergeCell ref="D4:E4"/>
    <mergeCell ref="G4:O4"/>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7" t="s">
        <v>1196</v>
      </c>
      <c r="B1" s="58"/>
      <c r="C1" s="58"/>
      <c r="D1" s="58"/>
      <c r="E1" s="58"/>
      <c r="F1" s="58"/>
      <c r="G1" s="58"/>
      <c r="H1" s="58"/>
    </row>
    <row r="2" spans="1:8" ht="31.95" customHeight="1">
      <c r="A2" s="59" t="s">
        <v>1197</v>
      </c>
      <c r="B2" s="58"/>
      <c r="C2" s="58"/>
      <c r="D2" s="58"/>
      <c r="E2" s="58"/>
      <c r="F2" s="58"/>
      <c r="G2" s="58"/>
      <c r="H2" s="58"/>
    </row>
    <row r="4" spans="1:8" ht="46.05" customHeight="1">
      <c r="A4" s="84" t="s">
        <v>1198</v>
      </c>
      <c r="B4" s="70"/>
      <c r="C4" s="70"/>
      <c r="D4" s="70"/>
      <c r="E4" s="70"/>
      <c r="F4" s="70"/>
      <c r="G4" s="70"/>
      <c r="H4" s="71"/>
    </row>
    <row r="6" spans="1:8" ht="28.05" customHeight="1">
      <c r="A6" s="1" t="s">
        <v>1199</v>
      </c>
      <c r="B6" s="2" t="s">
        <v>1200</v>
      </c>
      <c r="C6" s="2" t="s">
        <v>1201</v>
      </c>
      <c r="D6" s="2" t="s">
        <v>1202</v>
      </c>
      <c r="E6" s="2" t="s">
        <v>1203</v>
      </c>
      <c r="F6" s="2" t="s">
        <v>1204</v>
      </c>
      <c r="G6" s="2" t="s">
        <v>1205</v>
      </c>
      <c r="H6" s="3" t="s">
        <v>1206</v>
      </c>
    </row>
    <row r="7" spans="1:8">
      <c r="A7" s="10" t="s">
        <v>1207</v>
      </c>
      <c r="B7" s="10" t="s">
        <v>1208</v>
      </c>
      <c r="C7" s="10" t="s">
        <v>1209</v>
      </c>
      <c r="D7" s="10" t="s">
        <v>1210</v>
      </c>
      <c r="E7" s="10" t="s">
        <v>1211</v>
      </c>
      <c r="F7" s="10" t="s">
        <v>1212</v>
      </c>
      <c r="G7" s="10" t="s">
        <v>1213</v>
      </c>
      <c r="H7" s="10" t="s">
        <v>1214</v>
      </c>
    </row>
    <row r="8" spans="1:8" ht="22.8" customHeight="1">
      <c r="A8" s="11" t="s">
        <v>1207</v>
      </c>
      <c r="B8" s="11" t="s">
        <v>1215</v>
      </c>
      <c r="C8" s="11" t="s">
        <v>1216</v>
      </c>
      <c r="D8" s="11" t="s">
        <v>1217</v>
      </c>
      <c r="E8" s="11" t="s">
        <v>195</v>
      </c>
      <c r="F8" s="11" t="s">
        <v>380</v>
      </c>
      <c r="G8" s="11" t="s">
        <v>1218</v>
      </c>
      <c r="H8" s="11" t="s">
        <v>1219</v>
      </c>
    </row>
    <row r="9" spans="1:8">
      <c r="A9" s="11" t="s">
        <v>1207</v>
      </c>
      <c r="B9" s="11" t="s">
        <v>1220</v>
      </c>
      <c r="C9" s="11" t="s">
        <v>1221</v>
      </c>
      <c r="D9" s="11" t="s">
        <v>1222</v>
      </c>
      <c r="E9" s="11" t="s">
        <v>195</v>
      </c>
      <c r="F9" s="11" t="s">
        <v>91</v>
      </c>
      <c r="G9" s="11" t="s">
        <v>1223</v>
      </c>
      <c r="H9" s="11" t="s">
        <v>1224</v>
      </c>
    </row>
    <row r="10" spans="1:8" ht="22.8" customHeight="1">
      <c r="A10" s="11" t="s">
        <v>1207</v>
      </c>
      <c r="B10" s="11" t="s">
        <v>1225</v>
      </c>
      <c r="C10" s="11" t="s">
        <v>1226</v>
      </c>
      <c r="D10" s="11" t="s">
        <v>1227</v>
      </c>
      <c r="E10" s="11" t="s">
        <v>195</v>
      </c>
      <c r="F10" s="11" t="s">
        <v>226</v>
      </c>
      <c r="G10" s="11" t="s">
        <v>1228</v>
      </c>
      <c r="H10" s="11" t="s">
        <v>1229</v>
      </c>
    </row>
    <row r="11" spans="1:8">
      <c r="A11" s="11" t="s">
        <v>1207</v>
      </c>
      <c r="B11" s="11" t="s">
        <v>1230</v>
      </c>
      <c r="C11" s="11" t="s">
        <v>1231</v>
      </c>
      <c r="D11" s="11" t="s">
        <v>1232</v>
      </c>
      <c r="E11" s="11" t="s">
        <v>645</v>
      </c>
      <c r="F11" s="11" t="s">
        <v>226</v>
      </c>
      <c r="G11" s="11" t="s">
        <v>1233</v>
      </c>
      <c r="H11" s="11" t="s">
        <v>1234</v>
      </c>
    </row>
    <row r="12" spans="1:8">
      <c r="A12" s="11" t="s">
        <v>1235</v>
      </c>
      <c r="B12" s="11" t="s">
        <v>1236</v>
      </c>
      <c r="C12" s="11" t="s">
        <v>1237</v>
      </c>
      <c r="D12" s="11" t="s">
        <v>1238</v>
      </c>
      <c r="E12" s="11" t="s">
        <v>499</v>
      </c>
      <c r="F12" s="11" t="s">
        <v>508</v>
      </c>
      <c r="G12" s="11" t="s">
        <v>1239</v>
      </c>
      <c r="H12" s="11" t="s">
        <v>1240</v>
      </c>
    </row>
    <row r="13" spans="1:8">
      <c r="A13" s="11" t="s">
        <v>1235</v>
      </c>
      <c r="B13" s="11" t="s">
        <v>1241</v>
      </c>
      <c r="C13" s="11" t="s">
        <v>1242</v>
      </c>
      <c r="D13" s="11" t="s">
        <v>1243</v>
      </c>
      <c r="E13" s="11" t="s">
        <v>1244</v>
      </c>
      <c r="F13" s="11" t="s">
        <v>274</v>
      </c>
      <c r="G13" s="11" t="s">
        <v>1245</v>
      </c>
      <c r="H13" s="11" t="s">
        <v>1246</v>
      </c>
    </row>
    <row r="14" spans="1:8" ht="22.8" customHeight="1">
      <c r="A14" s="11" t="s">
        <v>1235</v>
      </c>
      <c r="B14" s="11" t="s">
        <v>1247</v>
      </c>
      <c r="C14" s="11" t="s">
        <v>1248</v>
      </c>
      <c r="D14" s="11" t="s">
        <v>1249</v>
      </c>
      <c r="E14" s="11" t="s">
        <v>1250</v>
      </c>
      <c r="F14" s="11" t="s">
        <v>215</v>
      </c>
      <c r="G14" s="11" t="s">
        <v>1251</v>
      </c>
      <c r="H14" s="11" t="s">
        <v>1252</v>
      </c>
    </row>
    <row r="15" spans="1:8">
      <c r="A15" s="11" t="s">
        <v>1235</v>
      </c>
      <c r="B15" s="11" t="s">
        <v>1253</v>
      </c>
      <c r="C15" s="11" t="s">
        <v>1254</v>
      </c>
      <c r="D15" s="11" t="s">
        <v>1255</v>
      </c>
      <c r="E15" s="11" t="s">
        <v>347</v>
      </c>
      <c r="F15" s="11" t="s">
        <v>369</v>
      </c>
      <c r="G15" s="11" t="s">
        <v>1256</v>
      </c>
      <c r="H15" s="11" t="s">
        <v>1257</v>
      </c>
    </row>
    <row r="16" spans="1:8" ht="22.8" customHeight="1">
      <c r="A16" s="11" t="s">
        <v>1235</v>
      </c>
      <c r="B16" s="11" t="s">
        <v>1258</v>
      </c>
      <c r="C16" s="11" t="s">
        <v>1259</v>
      </c>
      <c r="D16" s="11" t="s">
        <v>1260</v>
      </c>
      <c r="E16" s="11" t="s">
        <v>347</v>
      </c>
      <c r="F16" s="11" t="s">
        <v>380</v>
      </c>
      <c r="G16" s="11" t="s">
        <v>1261</v>
      </c>
      <c r="H16" s="11" t="s">
        <v>1262</v>
      </c>
    </row>
    <row r="17" spans="1:8">
      <c r="A17" s="11" t="s">
        <v>1263</v>
      </c>
      <c r="B17" s="11" t="s">
        <v>1264</v>
      </c>
      <c r="C17" s="11" t="s">
        <v>1265</v>
      </c>
      <c r="D17" s="11" t="s">
        <v>1266</v>
      </c>
      <c r="E17" s="11" t="s">
        <v>499</v>
      </c>
      <c r="F17" s="11" t="s">
        <v>529</v>
      </c>
      <c r="G17" s="11" t="s">
        <v>1267</v>
      </c>
      <c r="H17" s="11" t="s">
        <v>1268</v>
      </c>
    </row>
    <row r="18" spans="1:8">
      <c r="A18" s="11" t="s">
        <v>1263</v>
      </c>
      <c r="B18" s="11" t="s">
        <v>1269</v>
      </c>
      <c r="C18" s="11" t="s">
        <v>1270</v>
      </c>
      <c r="D18" s="11" t="s">
        <v>1271</v>
      </c>
      <c r="E18" s="11" t="s">
        <v>499</v>
      </c>
      <c r="F18" s="11" t="s">
        <v>550</v>
      </c>
      <c r="G18" s="11" t="s">
        <v>1272</v>
      </c>
      <c r="H18" s="11" t="s">
        <v>1273</v>
      </c>
    </row>
    <row r="19" spans="1:8">
      <c r="A19" s="11" t="s">
        <v>1274</v>
      </c>
      <c r="B19" s="11" t="s">
        <v>1275</v>
      </c>
      <c r="C19" s="11" t="s">
        <v>1276</v>
      </c>
      <c r="D19" s="11" t="s">
        <v>1277</v>
      </c>
      <c r="E19" s="11" t="s">
        <v>812</v>
      </c>
      <c r="F19" s="11" t="s">
        <v>833</v>
      </c>
      <c r="G19" s="11" t="s">
        <v>1278</v>
      </c>
      <c r="H19" s="11" t="s">
        <v>1279</v>
      </c>
    </row>
    <row r="20" spans="1:8">
      <c r="A20" s="11" t="s">
        <v>1280</v>
      </c>
      <c r="B20" s="11" t="s">
        <v>1281</v>
      </c>
      <c r="C20" s="11" t="s">
        <v>1282</v>
      </c>
      <c r="D20" s="11" t="s">
        <v>1283</v>
      </c>
      <c r="E20" s="11" t="s">
        <v>1284</v>
      </c>
      <c r="F20" s="11" t="s">
        <v>1212</v>
      </c>
      <c r="G20" s="11" t="s">
        <v>1285</v>
      </c>
      <c r="H20" s="11" t="s">
        <v>1286</v>
      </c>
    </row>
    <row r="21" spans="1:8" ht="22.8" customHeight="1">
      <c r="A21" s="11" t="s">
        <v>1287</v>
      </c>
      <c r="B21" s="11" t="s">
        <v>1288</v>
      </c>
      <c r="C21" s="11" t="s">
        <v>1289</v>
      </c>
      <c r="D21" s="11" t="s">
        <v>1290</v>
      </c>
      <c r="E21" s="11" t="s">
        <v>1291</v>
      </c>
      <c r="F21" s="11" t="s">
        <v>1292</v>
      </c>
      <c r="G21" s="11" t="s">
        <v>1293</v>
      </c>
      <c r="H21" s="11" t="s">
        <v>1294</v>
      </c>
    </row>
    <row r="22" spans="1:8">
      <c r="A22" s="11" t="s">
        <v>1295</v>
      </c>
      <c r="B22" s="11" t="s">
        <v>1296</v>
      </c>
      <c r="C22" s="11" t="s">
        <v>1297</v>
      </c>
      <c r="D22" s="11" t="s">
        <v>1298</v>
      </c>
      <c r="E22" s="11" t="s">
        <v>1299</v>
      </c>
      <c r="F22" s="11" t="s">
        <v>451</v>
      </c>
      <c r="G22" s="11" t="s">
        <v>1300</v>
      </c>
      <c r="H22" s="11" t="s">
        <v>1301</v>
      </c>
    </row>
    <row r="23" spans="1:8" ht="22.8" customHeight="1">
      <c r="A23" s="11" t="s">
        <v>1295</v>
      </c>
      <c r="B23" s="11" t="s">
        <v>1302</v>
      </c>
      <c r="C23" s="11" t="s">
        <v>1303</v>
      </c>
      <c r="D23" s="11" t="s">
        <v>1304</v>
      </c>
      <c r="E23" s="11" t="s">
        <v>812</v>
      </c>
      <c r="F23" s="11" t="s">
        <v>1305</v>
      </c>
      <c r="G23" s="11" t="s">
        <v>1306</v>
      </c>
      <c r="H23" s="11" t="s">
        <v>1307</v>
      </c>
    </row>
    <row r="24" spans="1:8">
      <c r="A24" s="11" t="s">
        <v>1308</v>
      </c>
      <c r="B24" s="11" t="s">
        <v>1309</v>
      </c>
      <c r="C24" s="11" t="s">
        <v>1310</v>
      </c>
      <c r="D24" s="11" t="s">
        <v>1311</v>
      </c>
      <c r="E24" s="11" t="s">
        <v>1312</v>
      </c>
      <c r="F24" s="11" t="s">
        <v>1313</v>
      </c>
      <c r="G24" s="11" t="s">
        <v>1314</v>
      </c>
      <c r="H24" s="11" t="s">
        <v>1315</v>
      </c>
    </row>
  </sheetData>
  <mergeCells count="3">
    <mergeCell ref="A4:H4"/>
    <mergeCell ref="A2:H2"/>
    <mergeCell ref="A1:H1"/>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opLeftCell="K31" workbookViewId="0">
      <selection activeCell="N32" sqref="N32"/>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5" width="8.796875" style="27" customWidth="1"/>
    <col min="16" max="16384" width="8.796875" style="27"/>
  </cols>
  <sheetData>
    <row r="1" spans="1:14" ht="22.8" customHeight="1">
      <c r="A1" s="85" t="s">
        <v>1316</v>
      </c>
      <c r="B1" s="86"/>
      <c r="C1" s="86"/>
      <c r="D1" s="86"/>
      <c r="E1" s="86"/>
      <c r="F1" s="86"/>
      <c r="G1" s="86"/>
      <c r="H1" s="86"/>
      <c r="I1" s="86"/>
      <c r="J1" s="86"/>
      <c r="K1" s="51"/>
      <c r="L1" s="51"/>
      <c r="M1" s="54"/>
      <c r="N1" s="54"/>
    </row>
    <row r="2" spans="1:14">
      <c r="A2" s="87" t="s">
        <v>1317</v>
      </c>
      <c r="B2" s="86"/>
      <c r="C2" s="86"/>
      <c r="D2" s="86"/>
      <c r="E2" s="86"/>
      <c r="F2" s="86"/>
      <c r="G2" s="86"/>
      <c r="H2" s="86"/>
      <c r="I2" s="86"/>
      <c r="J2" s="86"/>
      <c r="K2" s="52"/>
      <c r="L2" s="52"/>
      <c r="M2" s="55"/>
      <c r="N2" s="55"/>
    </row>
    <row r="3" spans="1:14">
      <c r="M3" s="22"/>
      <c r="N3" s="22"/>
    </row>
    <row r="5" spans="1:14">
      <c r="A5" s="53" t="s">
        <v>11</v>
      </c>
      <c r="B5" s="53" t="s">
        <v>3</v>
      </c>
      <c r="C5" s="53" t="s">
        <v>1042</v>
      </c>
      <c r="D5" s="53" t="s">
        <v>1043</v>
      </c>
      <c r="E5" s="53" t="s">
        <v>1044</v>
      </c>
      <c r="F5" s="53" t="s">
        <v>1045</v>
      </c>
      <c r="G5" s="53" t="s">
        <v>1318</v>
      </c>
      <c r="H5" s="53" t="s">
        <v>1319</v>
      </c>
      <c r="I5" s="53" t="s">
        <v>1320</v>
      </c>
      <c r="J5" s="53" t="s">
        <v>1321</v>
      </c>
      <c r="K5" s="53" t="s">
        <v>1322</v>
      </c>
      <c r="L5" s="53" t="s">
        <v>1323</v>
      </c>
      <c r="M5" s="53" t="s">
        <v>1324</v>
      </c>
      <c r="N5" s="53" t="s">
        <v>1325</v>
      </c>
    </row>
    <row r="6" spans="1:14" ht="125.4" customHeight="1">
      <c r="A6" s="23" t="s">
        <v>1326</v>
      </c>
      <c r="B6" s="23" t="s">
        <v>1327</v>
      </c>
      <c r="C6" s="23" t="s">
        <v>1328</v>
      </c>
      <c r="D6" s="23" t="s">
        <v>1329</v>
      </c>
      <c r="E6" s="23" t="s">
        <v>1330</v>
      </c>
      <c r="F6" s="23" t="s">
        <v>1331</v>
      </c>
      <c r="G6" s="23" t="s">
        <v>1332</v>
      </c>
      <c r="H6" s="23" t="s">
        <v>1333</v>
      </c>
      <c r="I6" s="23" t="s">
        <v>1334</v>
      </c>
      <c r="J6" s="23" t="s">
        <v>1335</v>
      </c>
      <c r="K6" s="23" t="s">
        <v>1327</v>
      </c>
      <c r="L6" s="23" t="s">
        <v>1336</v>
      </c>
      <c r="M6" s="23" t="s">
        <v>1336</v>
      </c>
      <c r="N6" s="22" t="s">
        <v>1336</v>
      </c>
    </row>
    <row r="7" spans="1:14" ht="262.2" customHeight="1">
      <c r="A7" s="22" t="s">
        <v>1337</v>
      </c>
      <c r="B7" s="22" t="s">
        <v>1327</v>
      </c>
      <c r="C7" s="22" t="s">
        <v>1338</v>
      </c>
      <c r="D7" s="22" t="s">
        <v>1339</v>
      </c>
      <c r="E7" s="22" t="s">
        <v>1340</v>
      </c>
      <c r="F7" s="22" t="s">
        <v>1341</v>
      </c>
      <c r="G7" s="22" t="s">
        <v>1342</v>
      </c>
      <c r="H7" s="22" t="s">
        <v>1333</v>
      </c>
      <c r="I7" s="22" t="s">
        <v>1334</v>
      </c>
      <c r="J7" s="22" t="s">
        <v>1335</v>
      </c>
      <c r="K7" s="22" t="s">
        <v>1343</v>
      </c>
      <c r="L7" s="22" t="s">
        <v>1336</v>
      </c>
      <c r="M7" s="22" t="s">
        <v>1336</v>
      </c>
      <c r="N7" s="55" t="s">
        <v>1336</v>
      </c>
    </row>
    <row r="8" spans="1:14" ht="228" customHeight="1">
      <c r="A8" s="23" t="s">
        <v>1344</v>
      </c>
      <c r="B8" s="23" t="s">
        <v>1327</v>
      </c>
      <c r="C8" s="23" t="s">
        <v>1345</v>
      </c>
      <c r="D8" s="23" t="s">
        <v>1346</v>
      </c>
      <c r="E8" s="23" t="s">
        <v>1347</v>
      </c>
      <c r="F8" s="23" t="s">
        <v>1348</v>
      </c>
      <c r="G8" s="23" t="s">
        <v>1349</v>
      </c>
      <c r="H8" s="23" t="s">
        <v>1333</v>
      </c>
      <c r="I8" s="23" t="s">
        <v>1334</v>
      </c>
      <c r="J8" s="23" t="s">
        <v>1335</v>
      </c>
      <c r="K8" s="23" t="s">
        <v>1327</v>
      </c>
      <c r="L8" s="23" t="s">
        <v>1336</v>
      </c>
      <c r="M8" s="23" t="s">
        <v>1336</v>
      </c>
      <c r="N8" s="22" t="s">
        <v>1336</v>
      </c>
    </row>
    <row r="9" spans="1:14" ht="409.6" customHeight="1">
      <c r="A9" s="22" t="s">
        <v>30</v>
      </c>
      <c r="B9" s="22" t="s">
        <v>24</v>
      </c>
      <c r="C9" s="22" t="s">
        <v>1047</v>
      </c>
      <c r="D9" s="22" t="s">
        <v>1048</v>
      </c>
      <c r="E9" s="22" t="s">
        <v>1049</v>
      </c>
      <c r="F9" s="22" t="s">
        <v>1350</v>
      </c>
      <c r="G9" s="22" t="s">
        <v>1351</v>
      </c>
      <c r="H9" s="22" t="s">
        <v>1352</v>
      </c>
      <c r="I9" s="22" t="s">
        <v>1353</v>
      </c>
      <c r="J9" s="22" t="s">
        <v>1354</v>
      </c>
      <c r="K9" s="22" t="s">
        <v>23</v>
      </c>
      <c r="L9" s="22" t="s">
        <v>1355</v>
      </c>
      <c r="M9" s="22" t="s">
        <v>1356</v>
      </c>
      <c r="N9" s="55" t="s">
        <v>1357</v>
      </c>
    </row>
    <row r="10" spans="1:14" ht="409.6" customHeight="1">
      <c r="A10" s="23" t="s">
        <v>47</v>
      </c>
      <c r="B10" s="23" t="s">
        <v>24</v>
      </c>
      <c r="C10" s="23" t="s">
        <v>1052</v>
      </c>
      <c r="D10" s="23" t="s">
        <v>1053</v>
      </c>
      <c r="E10" s="23" t="s">
        <v>1054</v>
      </c>
      <c r="F10" s="23" t="s">
        <v>1350</v>
      </c>
      <c r="G10" s="23" t="s">
        <v>1358</v>
      </c>
      <c r="H10" s="23" t="s">
        <v>1352</v>
      </c>
      <c r="I10" s="23" t="s">
        <v>1359</v>
      </c>
      <c r="J10" s="23" t="s">
        <v>1354</v>
      </c>
      <c r="K10" s="23" t="s">
        <v>42</v>
      </c>
      <c r="L10" s="23" t="s">
        <v>1360</v>
      </c>
      <c r="M10" s="23" t="s">
        <v>1361</v>
      </c>
      <c r="N10" s="22" t="s">
        <v>1362</v>
      </c>
    </row>
    <row r="11" spans="1:14" ht="409.6" customHeight="1">
      <c r="A11" s="22" t="s">
        <v>61</v>
      </c>
      <c r="B11" s="22" t="s">
        <v>24</v>
      </c>
      <c r="C11" s="22" t="s">
        <v>1056</v>
      </c>
      <c r="D11" s="22" t="s">
        <v>1057</v>
      </c>
      <c r="E11" s="22" t="s">
        <v>1058</v>
      </c>
      <c r="F11" s="22" t="s">
        <v>1363</v>
      </c>
      <c r="G11" s="22" t="s">
        <v>1364</v>
      </c>
      <c r="H11" s="22" t="s">
        <v>1365</v>
      </c>
      <c r="I11" s="22" t="s">
        <v>1366</v>
      </c>
      <c r="J11" s="22" t="s">
        <v>1354</v>
      </c>
      <c r="K11" s="22" t="s">
        <v>1367</v>
      </c>
      <c r="L11" s="22" t="s">
        <v>1368</v>
      </c>
      <c r="M11" s="22" t="s">
        <v>1369</v>
      </c>
      <c r="N11" s="55" t="s">
        <v>1370</v>
      </c>
    </row>
    <row r="12" spans="1:14" ht="409.6" customHeight="1">
      <c r="A12" s="23" t="s">
        <v>85</v>
      </c>
      <c r="B12" s="23" t="s">
        <v>24</v>
      </c>
      <c r="C12" s="23" t="s">
        <v>1061</v>
      </c>
      <c r="D12" s="23" t="s">
        <v>1062</v>
      </c>
      <c r="E12" s="23" t="s">
        <v>1063</v>
      </c>
      <c r="F12" s="23" t="s">
        <v>1363</v>
      </c>
      <c r="G12" s="23" t="s">
        <v>1371</v>
      </c>
      <c r="H12" s="23" t="s">
        <v>1365</v>
      </c>
      <c r="I12" s="23" t="s">
        <v>1372</v>
      </c>
      <c r="J12" s="23" t="s">
        <v>1354</v>
      </c>
      <c r="K12" s="23" t="s">
        <v>81</v>
      </c>
      <c r="L12" s="23" t="s">
        <v>1373</v>
      </c>
      <c r="M12" s="23" t="s">
        <v>1374</v>
      </c>
      <c r="N12" s="22" t="s">
        <v>1375</v>
      </c>
    </row>
    <row r="13" spans="1:14" ht="409.6" customHeight="1">
      <c r="A13" s="22" t="s">
        <v>98</v>
      </c>
      <c r="B13" s="22" t="s">
        <v>24</v>
      </c>
      <c r="C13" s="22" t="s">
        <v>1065</v>
      </c>
      <c r="D13" s="22" t="s">
        <v>1066</v>
      </c>
      <c r="E13" s="22" t="s">
        <v>1067</v>
      </c>
      <c r="F13" s="22" t="s">
        <v>1363</v>
      </c>
      <c r="G13" s="22" t="s">
        <v>1376</v>
      </c>
      <c r="H13" s="22" t="s">
        <v>1365</v>
      </c>
      <c r="I13" s="22" t="s">
        <v>1377</v>
      </c>
      <c r="J13" s="22" t="s">
        <v>1354</v>
      </c>
      <c r="K13" s="22" t="s">
        <v>1378</v>
      </c>
      <c r="L13" s="22" t="s">
        <v>1379</v>
      </c>
      <c r="M13" s="22" t="s">
        <v>1380</v>
      </c>
      <c r="N13" s="55" t="s">
        <v>1381</v>
      </c>
    </row>
    <row r="14" spans="1:14" ht="409.6" customHeight="1">
      <c r="A14" s="23" t="s">
        <v>133</v>
      </c>
      <c r="B14" s="23" t="s">
        <v>24</v>
      </c>
      <c r="C14" s="23" t="s">
        <v>1069</v>
      </c>
      <c r="D14" s="23" t="s">
        <v>1070</v>
      </c>
      <c r="E14" s="23" t="s">
        <v>1071</v>
      </c>
      <c r="F14" s="23" t="s">
        <v>1363</v>
      </c>
      <c r="G14" s="23" t="s">
        <v>1382</v>
      </c>
      <c r="H14" s="23" t="s">
        <v>1365</v>
      </c>
      <c r="I14" s="23" t="s">
        <v>1383</v>
      </c>
      <c r="J14" s="23" t="s">
        <v>1354</v>
      </c>
      <c r="K14" s="23" t="s">
        <v>1384</v>
      </c>
      <c r="L14" s="23" t="s">
        <v>1385</v>
      </c>
      <c r="M14" s="23" t="s">
        <v>1386</v>
      </c>
      <c r="N14" s="22" t="s">
        <v>1387</v>
      </c>
    </row>
    <row r="15" spans="1:14" ht="409.6" customHeight="1">
      <c r="A15" s="22" t="s">
        <v>199</v>
      </c>
      <c r="B15" s="22" t="s">
        <v>195</v>
      </c>
      <c r="C15" s="22" t="s">
        <v>1388</v>
      </c>
      <c r="D15" s="22" t="s">
        <v>1389</v>
      </c>
      <c r="E15" s="22" t="s">
        <v>1390</v>
      </c>
      <c r="F15" s="22" t="s">
        <v>1363</v>
      </c>
      <c r="G15" s="22" t="s">
        <v>1391</v>
      </c>
      <c r="H15" s="22" t="s">
        <v>1365</v>
      </c>
      <c r="I15" s="22" t="s">
        <v>1392</v>
      </c>
      <c r="J15" s="22" t="s">
        <v>1354</v>
      </c>
      <c r="K15" s="22" t="s">
        <v>1393</v>
      </c>
      <c r="L15" s="22" t="s">
        <v>1394</v>
      </c>
      <c r="M15" s="22" t="s">
        <v>1395</v>
      </c>
      <c r="N15" s="55" t="s">
        <v>1396</v>
      </c>
    </row>
    <row r="16" spans="1:14" ht="409.6" customHeight="1">
      <c r="A16" s="23" t="s">
        <v>244</v>
      </c>
      <c r="B16" s="23" t="s">
        <v>195</v>
      </c>
      <c r="C16" s="23" t="s">
        <v>1088</v>
      </c>
      <c r="D16" s="23" t="s">
        <v>1089</v>
      </c>
      <c r="E16" s="23" t="s">
        <v>1090</v>
      </c>
      <c r="F16" s="23" t="s">
        <v>1363</v>
      </c>
      <c r="G16" s="23" t="s">
        <v>1397</v>
      </c>
      <c r="H16" s="23" t="s">
        <v>1365</v>
      </c>
      <c r="I16" s="23" t="s">
        <v>1398</v>
      </c>
      <c r="J16" s="23" t="s">
        <v>1354</v>
      </c>
      <c r="K16" s="23" t="s">
        <v>240</v>
      </c>
      <c r="L16" s="23" t="s">
        <v>1399</v>
      </c>
      <c r="M16" s="23" t="s">
        <v>1400</v>
      </c>
      <c r="N16" s="22" t="s">
        <v>1401</v>
      </c>
    </row>
    <row r="17" spans="1:14" ht="409.6" customHeight="1">
      <c r="A17" s="22" t="s">
        <v>256</v>
      </c>
      <c r="B17" s="22" t="s">
        <v>195</v>
      </c>
      <c r="C17" s="22" t="s">
        <v>1092</v>
      </c>
      <c r="D17" s="22" t="s">
        <v>1093</v>
      </c>
      <c r="E17" s="22" t="s">
        <v>1094</v>
      </c>
      <c r="F17" s="22" t="s">
        <v>1363</v>
      </c>
      <c r="G17" s="22" t="s">
        <v>1402</v>
      </c>
      <c r="H17" s="22" t="s">
        <v>1365</v>
      </c>
      <c r="I17" s="22" t="s">
        <v>1403</v>
      </c>
      <c r="J17" s="22" t="s">
        <v>1354</v>
      </c>
      <c r="K17" s="22" t="s">
        <v>1404</v>
      </c>
      <c r="L17" s="22" t="s">
        <v>1405</v>
      </c>
      <c r="M17" s="22" t="s">
        <v>1406</v>
      </c>
      <c r="N17" s="55" t="s">
        <v>1407</v>
      </c>
    </row>
    <row r="18" spans="1:14" ht="409.6" customHeight="1">
      <c r="A18" s="23" t="s">
        <v>292</v>
      </c>
      <c r="B18" s="23" t="s">
        <v>195</v>
      </c>
      <c r="C18" s="23" t="s">
        <v>1408</v>
      </c>
      <c r="D18" s="23" t="s">
        <v>1409</v>
      </c>
      <c r="E18" s="23" t="s">
        <v>1410</v>
      </c>
      <c r="F18" s="23" t="s">
        <v>1363</v>
      </c>
      <c r="G18" s="23" t="s">
        <v>1411</v>
      </c>
      <c r="H18" s="23" t="s">
        <v>1365</v>
      </c>
      <c r="I18" s="23" t="s">
        <v>1412</v>
      </c>
      <c r="J18" s="23" t="s">
        <v>1354</v>
      </c>
      <c r="K18" s="23" t="s">
        <v>1413</v>
      </c>
      <c r="L18" s="23" t="s">
        <v>1414</v>
      </c>
      <c r="M18" s="23" t="s">
        <v>1415</v>
      </c>
      <c r="N18" s="22" t="s">
        <v>1416</v>
      </c>
    </row>
    <row r="19" spans="1:14" ht="409.6" customHeight="1">
      <c r="A19" s="22" t="s">
        <v>318</v>
      </c>
      <c r="B19" s="22" t="s">
        <v>195</v>
      </c>
      <c r="C19" s="22" t="s">
        <v>1100</v>
      </c>
      <c r="D19" s="22" t="s">
        <v>1101</v>
      </c>
      <c r="E19" s="22" t="s">
        <v>1102</v>
      </c>
      <c r="F19" s="22" t="s">
        <v>1417</v>
      </c>
      <c r="G19" s="22" t="s">
        <v>1418</v>
      </c>
      <c r="H19" s="22" t="s">
        <v>1419</v>
      </c>
      <c r="I19" s="22" t="s">
        <v>1420</v>
      </c>
      <c r="J19" s="22" t="s">
        <v>1421</v>
      </c>
      <c r="K19" s="22" t="s">
        <v>313</v>
      </c>
      <c r="L19" s="22" t="s">
        <v>1422</v>
      </c>
      <c r="M19" s="22" t="s">
        <v>1423</v>
      </c>
      <c r="N19" s="55" t="s">
        <v>1424</v>
      </c>
    </row>
    <row r="20" spans="1:14" ht="409.6" customHeight="1">
      <c r="A20" s="23" t="s">
        <v>351</v>
      </c>
      <c r="B20" s="23" t="s">
        <v>347</v>
      </c>
      <c r="C20" s="23" t="s">
        <v>1112</v>
      </c>
      <c r="D20" s="23" t="s">
        <v>1113</v>
      </c>
      <c r="E20" s="23" t="s">
        <v>1114</v>
      </c>
      <c r="F20" s="23" t="s">
        <v>1363</v>
      </c>
      <c r="G20" s="23" t="s">
        <v>1425</v>
      </c>
      <c r="H20" s="23" t="s">
        <v>1365</v>
      </c>
      <c r="I20" s="23" t="s">
        <v>1426</v>
      </c>
      <c r="J20" s="23" t="s">
        <v>1354</v>
      </c>
      <c r="K20" s="23" t="s">
        <v>1427</v>
      </c>
      <c r="L20" s="23" t="s">
        <v>1428</v>
      </c>
      <c r="M20" s="23" t="s">
        <v>1429</v>
      </c>
      <c r="N20" s="22" t="s">
        <v>1430</v>
      </c>
    </row>
    <row r="21" spans="1:14" ht="409.6" customHeight="1">
      <c r="A21" s="22" t="s">
        <v>411</v>
      </c>
      <c r="B21" s="22" t="s">
        <v>347</v>
      </c>
      <c r="C21" s="22" t="s">
        <v>1116</v>
      </c>
      <c r="D21" s="22" t="s">
        <v>1117</v>
      </c>
      <c r="E21" s="22" t="s">
        <v>1118</v>
      </c>
      <c r="F21" s="22" t="s">
        <v>1363</v>
      </c>
      <c r="G21" s="22" t="s">
        <v>1431</v>
      </c>
      <c r="H21" s="22" t="s">
        <v>1365</v>
      </c>
      <c r="I21" s="22" t="s">
        <v>1432</v>
      </c>
      <c r="J21" s="22" t="s">
        <v>1354</v>
      </c>
      <c r="K21" s="22" t="s">
        <v>1433</v>
      </c>
      <c r="L21" s="22" t="s">
        <v>1434</v>
      </c>
      <c r="M21" s="22" t="s">
        <v>1435</v>
      </c>
      <c r="N21" s="55" t="s">
        <v>1436</v>
      </c>
    </row>
    <row r="22" spans="1:14" ht="409.6" customHeight="1">
      <c r="A22" s="23" t="s">
        <v>399</v>
      </c>
      <c r="B22" s="23" t="s">
        <v>347</v>
      </c>
      <c r="C22" s="23" t="s">
        <v>1120</v>
      </c>
      <c r="D22" s="23" t="s">
        <v>1121</v>
      </c>
      <c r="E22" s="23" t="s">
        <v>1122</v>
      </c>
      <c r="F22" s="23" t="s">
        <v>1363</v>
      </c>
      <c r="G22" s="23" t="s">
        <v>1437</v>
      </c>
      <c r="H22" s="23" t="s">
        <v>1365</v>
      </c>
      <c r="I22" s="23" t="s">
        <v>1438</v>
      </c>
      <c r="J22" s="23" t="s">
        <v>1354</v>
      </c>
      <c r="K22" s="23" t="s">
        <v>1439</v>
      </c>
      <c r="L22" s="23" t="s">
        <v>1440</v>
      </c>
      <c r="M22" s="23" t="s">
        <v>1441</v>
      </c>
      <c r="N22" s="22" t="s">
        <v>1442</v>
      </c>
    </row>
    <row r="23" spans="1:14" ht="409.6" customHeight="1">
      <c r="A23" s="22" t="s">
        <v>469</v>
      </c>
      <c r="B23" s="22" t="s">
        <v>347</v>
      </c>
      <c r="C23" s="22" t="s">
        <v>1124</v>
      </c>
      <c r="D23" s="22" t="s">
        <v>1125</v>
      </c>
      <c r="E23" s="22" t="s">
        <v>1126</v>
      </c>
      <c r="F23" s="22" t="s">
        <v>1363</v>
      </c>
      <c r="G23" s="22" t="s">
        <v>1443</v>
      </c>
      <c r="H23" s="22" t="s">
        <v>1365</v>
      </c>
      <c r="I23" s="22" t="s">
        <v>1444</v>
      </c>
      <c r="J23" s="22" t="s">
        <v>1354</v>
      </c>
      <c r="K23" s="22" t="s">
        <v>465</v>
      </c>
      <c r="L23" s="22" t="s">
        <v>1445</v>
      </c>
      <c r="M23" s="22" t="s">
        <v>1446</v>
      </c>
      <c r="N23" s="55" t="s">
        <v>1447</v>
      </c>
    </row>
    <row r="24" spans="1:14" ht="409.6" customHeight="1">
      <c r="A24" s="23" t="s">
        <v>503</v>
      </c>
      <c r="B24" s="23" t="s">
        <v>499</v>
      </c>
      <c r="C24" s="23" t="s">
        <v>1134</v>
      </c>
      <c r="D24" s="23" t="s">
        <v>1135</v>
      </c>
      <c r="E24" s="23" t="s">
        <v>1136</v>
      </c>
      <c r="F24" s="23" t="s">
        <v>1363</v>
      </c>
      <c r="G24" s="23" t="s">
        <v>1448</v>
      </c>
      <c r="H24" s="23" t="s">
        <v>1365</v>
      </c>
      <c r="I24" s="23" t="s">
        <v>1449</v>
      </c>
      <c r="J24" s="23" t="s">
        <v>1354</v>
      </c>
      <c r="K24" s="23" t="s">
        <v>1450</v>
      </c>
      <c r="L24" s="23" t="s">
        <v>1451</v>
      </c>
      <c r="M24" s="23" t="s">
        <v>1452</v>
      </c>
      <c r="N24" s="22" t="s">
        <v>1453</v>
      </c>
    </row>
    <row r="25" spans="1:14" ht="409.6" customHeight="1">
      <c r="A25" s="22" t="s">
        <v>524</v>
      </c>
      <c r="B25" s="22" t="s">
        <v>499</v>
      </c>
      <c r="C25" s="22" t="s">
        <v>1138</v>
      </c>
      <c r="D25" s="22" t="s">
        <v>1139</v>
      </c>
      <c r="E25" s="22" t="s">
        <v>1140</v>
      </c>
      <c r="F25" s="22" t="s">
        <v>1363</v>
      </c>
      <c r="G25" s="22" t="s">
        <v>1454</v>
      </c>
      <c r="H25" s="22" t="s">
        <v>1365</v>
      </c>
      <c r="I25" s="22" t="s">
        <v>1455</v>
      </c>
      <c r="J25" s="22" t="s">
        <v>1354</v>
      </c>
      <c r="K25" s="22" t="s">
        <v>1456</v>
      </c>
      <c r="L25" s="22" t="s">
        <v>1457</v>
      </c>
      <c r="M25" s="22" t="s">
        <v>1458</v>
      </c>
      <c r="N25" s="55" t="s">
        <v>1459</v>
      </c>
    </row>
    <row r="26" spans="1:14" ht="409.6" customHeight="1">
      <c r="A26" s="23" t="s">
        <v>445</v>
      </c>
      <c r="B26" s="23" t="s">
        <v>499</v>
      </c>
      <c r="C26" s="23" t="s">
        <v>1142</v>
      </c>
      <c r="D26" s="23" t="s">
        <v>1143</v>
      </c>
      <c r="E26" s="23" t="s">
        <v>1144</v>
      </c>
      <c r="F26" s="23" t="s">
        <v>1363</v>
      </c>
      <c r="G26" s="23" t="s">
        <v>1460</v>
      </c>
      <c r="H26" s="23" t="s">
        <v>1365</v>
      </c>
      <c r="I26" s="23" t="s">
        <v>1461</v>
      </c>
      <c r="J26" s="23" t="s">
        <v>1354</v>
      </c>
      <c r="K26" s="23" t="s">
        <v>1462</v>
      </c>
      <c r="L26" s="23" t="s">
        <v>1463</v>
      </c>
      <c r="M26" s="23" t="s">
        <v>1464</v>
      </c>
      <c r="N26" s="22" t="s">
        <v>1465</v>
      </c>
    </row>
    <row r="27" spans="1:14" ht="409.6" customHeight="1">
      <c r="A27" s="22" t="s">
        <v>615</v>
      </c>
      <c r="B27" s="22" t="s">
        <v>499</v>
      </c>
      <c r="C27" s="22" t="s">
        <v>1146</v>
      </c>
      <c r="D27" s="22" t="s">
        <v>1147</v>
      </c>
      <c r="E27" s="22" t="s">
        <v>1148</v>
      </c>
      <c r="F27" s="22" t="s">
        <v>1363</v>
      </c>
      <c r="G27" s="22" t="s">
        <v>1466</v>
      </c>
      <c r="H27" s="22" t="s">
        <v>1365</v>
      </c>
      <c r="I27" s="22" t="s">
        <v>1467</v>
      </c>
      <c r="J27" s="22" t="s">
        <v>1354</v>
      </c>
      <c r="K27" s="22" t="s">
        <v>611</v>
      </c>
      <c r="L27" s="22" t="s">
        <v>1468</v>
      </c>
      <c r="M27" s="22" t="s">
        <v>1469</v>
      </c>
      <c r="N27" s="55" t="s">
        <v>1470</v>
      </c>
    </row>
    <row r="28" spans="1:14" ht="409.6" customHeight="1">
      <c r="A28" s="23" t="s">
        <v>649</v>
      </c>
      <c r="B28" s="23" t="s">
        <v>645</v>
      </c>
      <c r="C28" s="23" t="s">
        <v>1156</v>
      </c>
      <c r="D28" s="23" t="s">
        <v>1157</v>
      </c>
      <c r="E28" s="23" t="s">
        <v>1158</v>
      </c>
      <c r="F28" s="23" t="s">
        <v>1350</v>
      </c>
      <c r="G28" s="23" t="s">
        <v>1471</v>
      </c>
      <c r="H28" s="23" t="s">
        <v>1352</v>
      </c>
      <c r="I28" s="23" t="s">
        <v>1472</v>
      </c>
      <c r="J28" s="23" t="s">
        <v>1354</v>
      </c>
      <c r="K28" s="23" t="s">
        <v>644</v>
      </c>
      <c r="L28" s="23" t="s">
        <v>1473</v>
      </c>
      <c r="M28" s="23" t="s">
        <v>1474</v>
      </c>
      <c r="N28" s="22" t="s">
        <v>1475</v>
      </c>
    </row>
    <row r="29" spans="1:14" ht="409.6" customHeight="1">
      <c r="A29" s="22" t="s">
        <v>662</v>
      </c>
      <c r="B29" s="22" t="s">
        <v>645</v>
      </c>
      <c r="C29" s="22" t="s">
        <v>1476</v>
      </c>
      <c r="D29" s="22" t="s">
        <v>1477</v>
      </c>
      <c r="E29" s="22" t="s">
        <v>1478</v>
      </c>
      <c r="F29" s="22" t="s">
        <v>1479</v>
      </c>
      <c r="G29" s="22" t="s">
        <v>1480</v>
      </c>
      <c r="H29" s="22" t="s">
        <v>1365</v>
      </c>
      <c r="I29" s="22" t="s">
        <v>1481</v>
      </c>
      <c r="J29" s="22" t="s">
        <v>1354</v>
      </c>
      <c r="K29" s="22" t="s">
        <v>1482</v>
      </c>
      <c r="L29" s="22" t="s">
        <v>1483</v>
      </c>
      <c r="M29" s="22" t="s">
        <v>1484</v>
      </c>
      <c r="N29" s="55" t="s">
        <v>1485</v>
      </c>
    </row>
    <row r="30" spans="1:14" ht="409.6" customHeight="1">
      <c r="A30" s="23" t="s">
        <v>727</v>
      </c>
      <c r="B30" s="23" t="s">
        <v>645</v>
      </c>
      <c r="C30" s="23" t="s">
        <v>1164</v>
      </c>
      <c r="D30" s="23" t="s">
        <v>1165</v>
      </c>
      <c r="E30" s="23" t="s">
        <v>1166</v>
      </c>
      <c r="F30" s="23" t="s">
        <v>1363</v>
      </c>
      <c r="G30" s="23" t="s">
        <v>1486</v>
      </c>
      <c r="H30" s="23" t="s">
        <v>1365</v>
      </c>
      <c r="I30" s="23" t="s">
        <v>1487</v>
      </c>
      <c r="J30" s="23" t="s">
        <v>1354</v>
      </c>
      <c r="K30" s="23" t="s">
        <v>1488</v>
      </c>
      <c r="L30" s="23" t="s">
        <v>1489</v>
      </c>
      <c r="M30" s="23" t="s">
        <v>1490</v>
      </c>
      <c r="N30" s="22" t="s">
        <v>1491</v>
      </c>
    </row>
    <row r="31" spans="1:14" ht="409.6" customHeight="1">
      <c r="A31" s="22" t="s">
        <v>713</v>
      </c>
      <c r="B31" s="22" t="s">
        <v>645</v>
      </c>
      <c r="C31" s="22" t="s">
        <v>1168</v>
      </c>
      <c r="D31" s="22" t="s">
        <v>1169</v>
      </c>
      <c r="E31" s="22" t="s">
        <v>1170</v>
      </c>
      <c r="F31" s="22" t="s">
        <v>1363</v>
      </c>
      <c r="G31" s="22" t="s">
        <v>1492</v>
      </c>
      <c r="H31" s="22" t="s">
        <v>1365</v>
      </c>
      <c r="I31" s="22" t="s">
        <v>1493</v>
      </c>
      <c r="J31" s="22" t="s">
        <v>1354</v>
      </c>
      <c r="K31" s="22" t="s">
        <v>709</v>
      </c>
      <c r="L31" s="22" t="s">
        <v>1494</v>
      </c>
      <c r="M31" s="22" t="s">
        <v>1495</v>
      </c>
      <c r="N31" s="55" t="s">
        <v>1496</v>
      </c>
    </row>
    <row r="32" spans="1:14" ht="409.6" customHeight="1">
      <c r="A32" s="23" t="s">
        <v>750</v>
      </c>
      <c r="B32" s="23" t="s">
        <v>645</v>
      </c>
      <c r="C32" s="23" t="s">
        <v>1172</v>
      </c>
      <c r="D32" s="23" t="s">
        <v>1173</v>
      </c>
      <c r="E32" s="23" t="s">
        <v>1174</v>
      </c>
      <c r="F32" s="23" t="s">
        <v>1363</v>
      </c>
      <c r="G32" s="23" t="s">
        <v>1497</v>
      </c>
      <c r="H32" s="23" t="s">
        <v>1365</v>
      </c>
      <c r="I32" s="23" t="s">
        <v>1498</v>
      </c>
      <c r="J32" s="23" t="s">
        <v>1354</v>
      </c>
      <c r="K32" s="23" t="s">
        <v>1499</v>
      </c>
      <c r="L32" s="23" t="s">
        <v>1500</v>
      </c>
      <c r="M32" s="23" t="s">
        <v>1501</v>
      </c>
      <c r="N32" s="22" t="s">
        <v>1502</v>
      </c>
    </row>
    <row r="33" spans="1:14" ht="409.6" customHeight="1">
      <c r="A33" s="22" t="s">
        <v>828</v>
      </c>
      <c r="B33" s="22" t="s">
        <v>812</v>
      </c>
      <c r="C33" s="22" t="s">
        <v>1182</v>
      </c>
      <c r="D33" s="22" t="s">
        <v>1183</v>
      </c>
      <c r="E33" s="22" t="s">
        <v>1184</v>
      </c>
      <c r="F33" s="22" t="s">
        <v>1363</v>
      </c>
      <c r="G33" s="22" t="s">
        <v>1503</v>
      </c>
      <c r="H33" s="22" t="s">
        <v>1365</v>
      </c>
      <c r="I33" s="22" t="s">
        <v>1504</v>
      </c>
      <c r="J33" s="22" t="s">
        <v>1354</v>
      </c>
      <c r="K33" s="22" t="s">
        <v>1505</v>
      </c>
      <c r="L33" s="22" t="s">
        <v>1506</v>
      </c>
      <c r="M33" s="22" t="s">
        <v>1507</v>
      </c>
      <c r="N33" s="55" t="s">
        <v>1508</v>
      </c>
    </row>
    <row r="34" spans="1:14" ht="409.6" customHeight="1">
      <c r="A34" s="23" t="s">
        <v>873</v>
      </c>
      <c r="B34" s="23" t="s">
        <v>812</v>
      </c>
      <c r="C34" s="23" t="s">
        <v>1186</v>
      </c>
      <c r="D34" s="23" t="s">
        <v>1187</v>
      </c>
      <c r="E34" s="23" t="s">
        <v>1188</v>
      </c>
      <c r="F34" s="23" t="s">
        <v>1363</v>
      </c>
      <c r="G34" s="23" t="s">
        <v>1509</v>
      </c>
      <c r="H34" s="23" t="s">
        <v>1365</v>
      </c>
      <c r="I34" s="23" t="s">
        <v>1510</v>
      </c>
      <c r="J34" s="23" t="s">
        <v>1354</v>
      </c>
      <c r="K34" s="23" t="s">
        <v>1511</v>
      </c>
      <c r="L34" s="23" t="s">
        <v>1512</v>
      </c>
      <c r="M34" s="23" t="s">
        <v>1513</v>
      </c>
      <c r="N34" s="22" t="s">
        <v>1514</v>
      </c>
    </row>
    <row r="35" spans="1:14" ht="409.6" customHeight="1">
      <c r="A35" s="22" t="s">
        <v>920</v>
      </c>
      <c r="B35" s="22" t="s">
        <v>812</v>
      </c>
      <c r="C35" s="22" t="s">
        <v>1190</v>
      </c>
      <c r="D35" s="22" t="s">
        <v>1191</v>
      </c>
      <c r="E35" s="22" t="s">
        <v>1192</v>
      </c>
      <c r="F35" s="22" t="s">
        <v>1363</v>
      </c>
      <c r="G35" s="22" t="s">
        <v>1515</v>
      </c>
      <c r="H35" s="22" t="s">
        <v>1365</v>
      </c>
      <c r="I35" s="22" t="s">
        <v>1516</v>
      </c>
      <c r="J35" s="22" t="s">
        <v>1354</v>
      </c>
      <c r="K35" s="22" t="s">
        <v>1517</v>
      </c>
      <c r="L35" s="22" t="s">
        <v>1518</v>
      </c>
      <c r="M35" s="22" t="s">
        <v>1519</v>
      </c>
      <c r="N35" s="55" t="s">
        <v>1520</v>
      </c>
    </row>
    <row r="36" spans="1:14" ht="409.6" customHeight="1">
      <c r="A36" s="23" t="s">
        <v>171</v>
      </c>
      <c r="B36" s="23" t="s">
        <v>24</v>
      </c>
      <c r="C36" s="23" t="s">
        <v>1521</v>
      </c>
      <c r="D36" s="23" t="s">
        <v>1522</v>
      </c>
      <c r="E36" s="23" t="s">
        <v>1523</v>
      </c>
      <c r="F36" s="23" t="s">
        <v>1524</v>
      </c>
      <c r="G36" s="23" t="s">
        <v>1525</v>
      </c>
      <c r="H36" s="23" t="s">
        <v>1352</v>
      </c>
      <c r="I36" s="23" t="s">
        <v>1526</v>
      </c>
      <c r="J36" s="23" t="s">
        <v>1354</v>
      </c>
      <c r="K36" s="23" t="s">
        <v>167</v>
      </c>
      <c r="L36" s="23" t="s">
        <v>1527</v>
      </c>
      <c r="M36" s="23" t="s">
        <v>1528</v>
      </c>
      <c r="N36" s="22" t="s">
        <v>1529</v>
      </c>
    </row>
    <row r="37" spans="1:14" ht="409.6" customHeight="1">
      <c r="A37" s="23" t="s">
        <v>329</v>
      </c>
      <c r="B37" s="23" t="s">
        <v>195</v>
      </c>
      <c r="C37" s="23" t="s">
        <v>1530</v>
      </c>
      <c r="D37" s="23" t="s">
        <v>1531</v>
      </c>
      <c r="E37" s="23" t="s">
        <v>1532</v>
      </c>
      <c r="F37" s="23" t="s">
        <v>1524</v>
      </c>
      <c r="G37" s="23" t="s">
        <v>1533</v>
      </c>
      <c r="H37" s="23" t="s">
        <v>1352</v>
      </c>
      <c r="I37" s="23" t="s">
        <v>1534</v>
      </c>
      <c r="J37" s="23" t="s">
        <v>1354</v>
      </c>
      <c r="K37" s="23" t="s">
        <v>326</v>
      </c>
      <c r="L37" s="23" t="s">
        <v>1535</v>
      </c>
      <c r="M37" s="23" t="s">
        <v>1536</v>
      </c>
      <c r="N37" s="22" t="s">
        <v>1537</v>
      </c>
    </row>
    <row r="38" spans="1:14" ht="409.6" customHeight="1">
      <c r="A38" s="23" t="s">
        <v>480</v>
      </c>
      <c r="B38" s="23" t="s">
        <v>347</v>
      </c>
      <c r="C38" s="23" t="s">
        <v>1538</v>
      </c>
      <c r="D38" s="23" t="s">
        <v>1539</v>
      </c>
      <c r="E38" s="23" t="s">
        <v>1540</v>
      </c>
      <c r="F38" s="23" t="s">
        <v>1524</v>
      </c>
      <c r="G38" s="23" t="s">
        <v>1541</v>
      </c>
      <c r="H38" s="23" t="s">
        <v>1352</v>
      </c>
      <c r="I38" s="23" t="s">
        <v>1542</v>
      </c>
      <c r="J38" s="23" t="s">
        <v>1354</v>
      </c>
      <c r="K38" s="23" t="s">
        <v>477</v>
      </c>
      <c r="L38" s="23" t="s">
        <v>1543</v>
      </c>
      <c r="M38" s="23" t="s">
        <v>1544</v>
      </c>
      <c r="N38" s="22" t="s">
        <v>1545</v>
      </c>
    </row>
    <row r="39" spans="1:14" ht="409.6" customHeight="1">
      <c r="A39" s="23" t="s">
        <v>626</v>
      </c>
      <c r="B39" s="23" t="s">
        <v>499</v>
      </c>
      <c r="C39" s="23" t="s">
        <v>1546</v>
      </c>
      <c r="D39" s="23" t="s">
        <v>1547</v>
      </c>
      <c r="E39" s="23" t="s">
        <v>1548</v>
      </c>
      <c r="F39" s="23" t="s">
        <v>1524</v>
      </c>
      <c r="G39" s="23" t="s">
        <v>1549</v>
      </c>
      <c r="H39" s="23" t="s">
        <v>1352</v>
      </c>
      <c r="I39" s="23" t="s">
        <v>1550</v>
      </c>
      <c r="J39" s="23" t="s">
        <v>1354</v>
      </c>
      <c r="K39" s="23" t="s">
        <v>623</v>
      </c>
      <c r="L39" s="23" t="s">
        <v>1551</v>
      </c>
      <c r="M39" s="23" t="s">
        <v>1552</v>
      </c>
      <c r="N39" s="22" t="s">
        <v>1553</v>
      </c>
    </row>
    <row r="40" spans="1:14" ht="409.6" customHeight="1">
      <c r="A40" s="23" t="s">
        <v>792</v>
      </c>
      <c r="B40" s="23" t="s">
        <v>645</v>
      </c>
      <c r="C40" s="23" t="s">
        <v>1554</v>
      </c>
      <c r="D40" s="23" t="s">
        <v>1555</v>
      </c>
      <c r="E40" s="23" t="s">
        <v>1556</v>
      </c>
      <c r="F40" s="23" t="s">
        <v>1524</v>
      </c>
      <c r="G40" s="23" t="s">
        <v>1557</v>
      </c>
      <c r="H40" s="23" t="s">
        <v>1352</v>
      </c>
      <c r="I40" s="23" t="s">
        <v>1558</v>
      </c>
      <c r="J40" s="23" t="s">
        <v>1354</v>
      </c>
      <c r="K40" s="23" t="s">
        <v>789</v>
      </c>
      <c r="L40" s="23" t="s">
        <v>1559</v>
      </c>
      <c r="M40" s="23" t="s">
        <v>1560</v>
      </c>
      <c r="N40" s="22" t="s">
        <v>1561</v>
      </c>
    </row>
    <row r="41" spans="1:14" ht="409.6" customHeight="1">
      <c r="A41" s="22" t="s">
        <v>1562</v>
      </c>
      <c r="B41" s="22" t="s">
        <v>1563</v>
      </c>
      <c r="C41" s="22" t="s">
        <v>1564</v>
      </c>
      <c r="D41" s="22" t="s">
        <v>1565</v>
      </c>
      <c r="E41" s="22" t="s">
        <v>1566</v>
      </c>
      <c r="F41" s="22" t="s">
        <v>1363</v>
      </c>
      <c r="G41" s="22" t="s">
        <v>1567</v>
      </c>
      <c r="H41" s="22" t="s">
        <v>1365</v>
      </c>
      <c r="I41" s="22" t="s">
        <v>1568</v>
      </c>
      <c r="J41" s="22" t="s">
        <v>1354</v>
      </c>
      <c r="K41" s="22" t="s">
        <v>1563</v>
      </c>
      <c r="L41" s="22" t="s">
        <v>1569</v>
      </c>
      <c r="M41" s="22" t="s">
        <v>1570</v>
      </c>
      <c r="N41" s="55" t="s">
        <v>1571</v>
      </c>
    </row>
    <row r="42" spans="1:14" ht="409.6" customHeight="1">
      <c r="A42" s="23" t="s">
        <v>1572</v>
      </c>
      <c r="B42" s="23" t="s">
        <v>1563</v>
      </c>
      <c r="C42" s="23" t="s">
        <v>1573</v>
      </c>
      <c r="D42" s="23" t="s">
        <v>1574</v>
      </c>
      <c r="E42" s="23" t="s">
        <v>1575</v>
      </c>
      <c r="F42" s="23" t="s">
        <v>1363</v>
      </c>
      <c r="G42" s="23" t="s">
        <v>1576</v>
      </c>
      <c r="H42" s="23" t="s">
        <v>1365</v>
      </c>
      <c r="I42" s="23" t="s">
        <v>1577</v>
      </c>
      <c r="J42" s="23" t="s">
        <v>1354</v>
      </c>
      <c r="K42" s="23" t="s">
        <v>1563</v>
      </c>
      <c r="L42" s="23" t="s">
        <v>1578</v>
      </c>
      <c r="M42" s="23" t="s">
        <v>1579</v>
      </c>
      <c r="N42" s="22" t="s">
        <v>1580</v>
      </c>
    </row>
    <row r="43" spans="1:14" ht="409.6" customHeight="1">
      <c r="A43" s="27" t="s">
        <v>1581</v>
      </c>
      <c r="B43" s="27" t="s">
        <v>24</v>
      </c>
      <c r="C43" s="27" t="s">
        <v>1582</v>
      </c>
      <c r="D43" s="27" t="s">
        <v>1583</v>
      </c>
      <c r="E43" s="27" t="s">
        <v>1584</v>
      </c>
      <c r="F43" s="27" t="s">
        <v>1417</v>
      </c>
      <c r="G43" s="28" t="s">
        <v>1585</v>
      </c>
      <c r="H43" s="27" t="s">
        <v>1352</v>
      </c>
      <c r="I43" s="27" t="s">
        <v>1586</v>
      </c>
      <c r="J43" s="27" t="s">
        <v>1354</v>
      </c>
      <c r="K43" s="27" t="s">
        <v>1587</v>
      </c>
      <c r="L43" s="27" t="s">
        <v>1588</v>
      </c>
      <c r="M43" s="27" t="s">
        <v>1589</v>
      </c>
      <c r="N43" s="55" t="s">
        <v>1590</v>
      </c>
    </row>
    <row r="44" spans="1:14" ht="319.95" customHeight="1">
      <c r="A44" s="27" t="s">
        <v>185</v>
      </c>
      <c r="B44" s="27" t="s">
        <v>1591</v>
      </c>
      <c r="C44" s="27" t="s">
        <v>1592</v>
      </c>
      <c r="D44" s="27" t="s">
        <v>1593</v>
      </c>
      <c r="E44" s="27" t="s">
        <v>1594</v>
      </c>
      <c r="F44" s="27" t="s">
        <v>1595</v>
      </c>
      <c r="G44" s="28" t="s">
        <v>1596</v>
      </c>
      <c r="H44" s="27" t="s">
        <v>1597</v>
      </c>
      <c r="I44" s="27" t="s">
        <v>1598</v>
      </c>
      <c r="J44" s="27" t="s">
        <v>1421</v>
      </c>
      <c r="K44" s="27" t="s">
        <v>1599</v>
      </c>
      <c r="L44" s="27" t="s">
        <v>1600</v>
      </c>
      <c r="M44" s="27" t="s">
        <v>1601</v>
      </c>
      <c r="N44" s="22" t="s">
        <v>1602</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7" t="s">
        <v>1603</v>
      </c>
      <c r="B1" s="58"/>
      <c r="C1" s="58"/>
      <c r="D1" s="58"/>
      <c r="E1" s="58"/>
      <c r="F1" s="58"/>
      <c r="G1" s="58"/>
      <c r="H1" s="58"/>
      <c r="I1" s="58"/>
      <c r="J1" s="58"/>
      <c r="K1" s="58"/>
      <c r="L1" s="58"/>
    </row>
    <row r="2" spans="1:12" ht="31.95" customHeight="1">
      <c r="A2" s="59" t="s">
        <v>1604</v>
      </c>
      <c r="B2" s="58"/>
      <c r="C2" s="58"/>
      <c r="D2" s="58"/>
      <c r="E2" s="58"/>
      <c r="F2" s="58"/>
      <c r="G2" s="58"/>
      <c r="H2" s="58"/>
      <c r="I2" s="58"/>
      <c r="J2" s="58"/>
      <c r="K2" s="58"/>
      <c r="L2" s="58"/>
    </row>
    <row r="5" spans="1:12" ht="28.05" customHeight="1">
      <c r="A5" s="1" t="s">
        <v>1605</v>
      </c>
      <c r="B5" s="2" t="s">
        <v>3</v>
      </c>
      <c r="C5" s="2" t="s">
        <v>1606</v>
      </c>
      <c r="D5" s="2" t="s">
        <v>26</v>
      </c>
      <c r="E5" s="2" t="s">
        <v>1607</v>
      </c>
      <c r="F5" s="2" t="s">
        <v>15</v>
      </c>
      <c r="G5" s="2" t="s">
        <v>16</v>
      </c>
      <c r="H5" s="2" t="s">
        <v>20</v>
      </c>
      <c r="I5" s="2" t="s">
        <v>1608</v>
      </c>
      <c r="J5" s="2" t="s">
        <v>1609</v>
      </c>
      <c r="K5" s="2" t="s">
        <v>1610</v>
      </c>
      <c r="L5" s="3" t="s">
        <v>1611</v>
      </c>
    </row>
    <row r="6" spans="1:12" ht="45.6" customHeight="1">
      <c r="A6" s="10" t="s">
        <v>1612</v>
      </c>
      <c r="B6" s="10" t="s">
        <v>24</v>
      </c>
      <c r="C6" s="10" t="s">
        <v>1613</v>
      </c>
      <c r="D6" s="10" t="s">
        <v>1614</v>
      </c>
      <c r="E6" s="10" t="s">
        <v>1615</v>
      </c>
      <c r="F6" s="10" t="s">
        <v>1616</v>
      </c>
      <c r="G6" s="10" t="s">
        <v>90</v>
      </c>
      <c r="H6" s="10" t="s">
        <v>1617</v>
      </c>
      <c r="I6" s="17">
        <v>46252</v>
      </c>
      <c r="J6" s="10" t="s">
        <v>1618</v>
      </c>
      <c r="K6" s="10" t="s">
        <v>1619</v>
      </c>
      <c r="L6" s="10" t="s">
        <v>1620</v>
      </c>
    </row>
    <row r="7" spans="1:12" ht="45.6" customHeight="1">
      <c r="A7" s="11" t="s">
        <v>1621</v>
      </c>
      <c r="B7" s="11" t="s">
        <v>24</v>
      </c>
      <c r="C7" s="11" t="s">
        <v>1042</v>
      </c>
      <c r="D7" s="11" t="s">
        <v>1622</v>
      </c>
      <c r="E7" s="11" t="s">
        <v>76</v>
      </c>
      <c r="F7" s="11" t="s">
        <v>1623</v>
      </c>
      <c r="G7" s="11" t="s">
        <v>78</v>
      </c>
      <c r="H7" s="11" t="s">
        <v>1617</v>
      </c>
      <c r="I7" s="18">
        <v>46252</v>
      </c>
      <c r="J7" s="11" t="s">
        <v>1624</v>
      </c>
      <c r="K7" s="11" t="s">
        <v>1619</v>
      </c>
      <c r="L7" s="11" t="s">
        <v>1620</v>
      </c>
    </row>
    <row r="8" spans="1:12" ht="57" customHeight="1">
      <c r="A8" s="11" t="s">
        <v>1625</v>
      </c>
      <c r="B8" s="11" t="s">
        <v>24</v>
      </c>
      <c r="C8" s="11" t="s">
        <v>1626</v>
      </c>
      <c r="D8" s="11" t="s">
        <v>1627</v>
      </c>
      <c r="E8" s="11" t="s">
        <v>124</v>
      </c>
      <c r="F8" s="11" t="s">
        <v>1628</v>
      </c>
      <c r="G8" s="11" t="s">
        <v>126</v>
      </c>
      <c r="H8" s="11" t="s">
        <v>1617</v>
      </c>
      <c r="I8" s="18">
        <v>46252</v>
      </c>
      <c r="J8" s="11" t="s">
        <v>1629</v>
      </c>
      <c r="K8" s="11" t="s">
        <v>1630</v>
      </c>
      <c r="L8" s="11" t="s">
        <v>1620</v>
      </c>
    </row>
    <row r="9" spans="1:12" ht="45.6" customHeight="1">
      <c r="A9" s="11" t="s">
        <v>1631</v>
      </c>
      <c r="B9" s="11" t="s">
        <v>24</v>
      </c>
      <c r="C9" s="11" t="s">
        <v>1632</v>
      </c>
      <c r="D9" s="11" t="s">
        <v>1633</v>
      </c>
      <c r="E9" s="11" t="s">
        <v>161</v>
      </c>
      <c r="F9" s="11" t="s">
        <v>1634</v>
      </c>
      <c r="G9" s="11" t="s">
        <v>163</v>
      </c>
      <c r="H9" s="11" t="s">
        <v>1617</v>
      </c>
      <c r="I9" s="18">
        <v>46252</v>
      </c>
      <c r="J9" s="11" t="s">
        <v>1635</v>
      </c>
      <c r="K9" s="11" t="s">
        <v>1636</v>
      </c>
      <c r="L9" s="11" t="s">
        <v>1620</v>
      </c>
    </row>
    <row r="10" spans="1:12">
      <c r="A10" s="11" t="s">
        <v>1637</v>
      </c>
      <c r="B10" s="11" t="s">
        <v>195</v>
      </c>
      <c r="C10" s="11" t="s">
        <v>1613</v>
      </c>
      <c r="D10" s="11" t="s">
        <v>1638</v>
      </c>
      <c r="E10" s="11" t="s">
        <v>202</v>
      </c>
      <c r="F10" s="11" t="s">
        <v>1639</v>
      </c>
      <c r="G10" s="11" t="s">
        <v>1640</v>
      </c>
      <c r="H10" s="11" t="s">
        <v>1641</v>
      </c>
      <c r="I10" s="18"/>
      <c r="J10" s="11"/>
      <c r="K10" s="11"/>
      <c r="L10" s="11"/>
    </row>
    <row r="11" spans="1:12">
      <c r="A11" s="11" t="s">
        <v>1642</v>
      </c>
      <c r="B11" s="11" t="s">
        <v>195</v>
      </c>
      <c r="C11" s="11" t="s">
        <v>1643</v>
      </c>
      <c r="D11" s="11" t="s">
        <v>1644</v>
      </c>
      <c r="E11" s="11" t="s">
        <v>1645</v>
      </c>
      <c r="F11" s="11" t="s">
        <v>1646</v>
      </c>
      <c r="G11" s="11" t="s">
        <v>1647</v>
      </c>
      <c r="H11" s="11" t="s">
        <v>1641</v>
      </c>
      <c r="I11" s="18"/>
      <c r="J11" s="11"/>
      <c r="K11" s="11"/>
      <c r="L11" s="11"/>
    </row>
    <row r="12" spans="1:12">
      <c r="A12" s="11" t="s">
        <v>1648</v>
      </c>
      <c r="B12" s="11" t="s">
        <v>195</v>
      </c>
      <c r="C12" s="11" t="s">
        <v>1613</v>
      </c>
      <c r="D12" s="11" t="s">
        <v>1649</v>
      </c>
      <c r="E12" s="11" t="s">
        <v>247</v>
      </c>
      <c r="F12" s="11" t="s">
        <v>1650</v>
      </c>
      <c r="G12" s="11" t="s">
        <v>1651</v>
      </c>
      <c r="H12" s="11" t="s">
        <v>1641</v>
      </c>
      <c r="I12" s="18"/>
      <c r="J12" s="11"/>
      <c r="K12" s="11"/>
      <c r="L12" s="11"/>
    </row>
    <row r="13" spans="1:12" ht="22.8" customHeight="1">
      <c r="A13" s="11" t="s">
        <v>1652</v>
      </c>
      <c r="B13" s="11" t="s">
        <v>195</v>
      </c>
      <c r="C13" s="11" t="s">
        <v>1626</v>
      </c>
      <c r="D13" s="11" t="s">
        <v>1653</v>
      </c>
      <c r="E13" s="11" t="s">
        <v>1654</v>
      </c>
      <c r="F13" s="11" t="s">
        <v>1655</v>
      </c>
      <c r="G13" s="11" t="s">
        <v>1656</v>
      </c>
      <c r="H13" s="11" t="s">
        <v>1641</v>
      </c>
      <c r="I13" s="18"/>
      <c r="J13" s="11"/>
      <c r="K13" s="11"/>
      <c r="L13" s="11"/>
    </row>
    <row r="14" spans="1:12">
      <c r="A14" s="11" t="s">
        <v>1657</v>
      </c>
      <c r="B14" s="11" t="s">
        <v>195</v>
      </c>
      <c r="C14" s="11" t="s">
        <v>1042</v>
      </c>
      <c r="D14" s="11" t="s">
        <v>1658</v>
      </c>
      <c r="E14" s="11" t="s">
        <v>1659</v>
      </c>
      <c r="F14" s="11" t="s">
        <v>1660</v>
      </c>
      <c r="G14" s="11" t="s">
        <v>1661</v>
      </c>
      <c r="H14" s="11" t="s">
        <v>1641</v>
      </c>
      <c r="I14" s="18"/>
      <c r="J14" s="11"/>
      <c r="K14" s="11"/>
      <c r="L14" s="11"/>
    </row>
    <row r="15" spans="1:12" ht="171" customHeight="1">
      <c r="A15" s="11" t="s">
        <v>1662</v>
      </c>
      <c r="B15" s="11" t="s">
        <v>195</v>
      </c>
      <c r="C15" s="11" t="s">
        <v>1632</v>
      </c>
      <c r="D15" s="11" t="s">
        <v>1663</v>
      </c>
      <c r="E15" s="11" t="s">
        <v>1664</v>
      </c>
      <c r="F15" s="11" t="s">
        <v>1665</v>
      </c>
      <c r="G15" s="11" t="s">
        <v>1666</v>
      </c>
      <c r="H15" s="11" t="s">
        <v>1641</v>
      </c>
      <c r="I15" s="18"/>
      <c r="J15" s="11"/>
      <c r="K15" s="11"/>
      <c r="L15" s="11"/>
    </row>
    <row r="16" spans="1:12">
      <c r="A16" s="11" t="s">
        <v>1667</v>
      </c>
      <c r="B16" s="11" t="s">
        <v>347</v>
      </c>
      <c r="C16" s="11" t="s">
        <v>1613</v>
      </c>
      <c r="D16" s="11" t="s">
        <v>1668</v>
      </c>
      <c r="E16" s="11" t="s">
        <v>389</v>
      </c>
      <c r="F16" s="11" t="s">
        <v>1669</v>
      </c>
      <c r="G16" s="11" t="s">
        <v>1670</v>
      </c>
      <c r="H16" s="11" t="s">
        <v>1641</v>
      </c>
      <c r="I16" s="18"/>
      <c r="J16" s="11"/>
      <c r="K16" s="11"/>
      <c r="L16" s="11"/>
    </row>
    <row r="17" spans="1:12">
      <c r="A17" s="11" t="s">
        <v>1671</v>
      </c>
      <c r="B17" s="11" t="s">
        <v>347</v>
      </c>
      <c r="C17" s="11" t="s">
        <v>1626</v>
      </c>
      <c r="D17" s="11" t="s">
        <v>1672</v>
      </c>
      <c r="E17" s="11" t="s">
        <v>436</v>
      </c>
      <c r="F17" s="11" t="s">
        <v>1673</v>
      </c>
      <c r="G17" s="11" t="s">
        <v>1674</v>
      </c>
      <c r="H17" s="11" t="s">
        <v>1641</v>
      </c>
      <c r="I17" s="18"/>
      <c r="J17" s="11"/>
      <c r="K17" s="11"/>
      <c r="L17" s="11"/>
    </row>
    <row r="18" spans="1:12">
      <c r="A18" s="11" t="s">
        <v>1675</v>
      </c>
      <c r="B18" s="11" t="s">
        <v>347</v>
      </c>
      <c r="C18" s="11" t="s">
        <v>1676</v>
      </c>
      <c r="D18" s="11" t="s">
        <v>1677</v>
      </c>
      <c r="E18" s="11" t="s">
        <v>460</v>
      </c>
      <c r="F18" s="11" t="s">
        <v>1678</v>
      </c>
      <c r="G18" s="11" t="s">
        <v>427</v>
      </c>
      <c r="H18" s="11" t="s">
        <v>1641</v>
      </c>
      <c r="I18" s="18"/>
      <c r="J18" s="11"/>
      <c r="K18" s="11"/>
      <c r="L18" s="11"/>
    </row>
    <row r="19" spans="1:12" ht="171" customHeight="1">
      <c r="A19" s="11" t="s">
        <v>1679</v>
      </c>
      <c r="B19" s="11" t="s">
        <v>347</v>
      </c>
      <c r="C19" s="11" t="s">
        <v>1680</v>
      </c>
      <c r="D19" s="11" t="s">
        <v>1681</v>
      </c>
      <c r="E19" s="11" t="s">
        <v>471</v>
      </c>
      <c r="F19" s="11" t="s">
        <v>1682</v>
      </c>
      <c r="G19" s="11" t="s">
        <v>473</v>
      </c>
      <c r="H19" s="11" t="s">
        <v>1641</v>
      </c>
      <c r="I19" s="18"/>
      <c r="J19" s="11"/>
      <c r="K19" s="11"/>
      <c r="L19" s="11"/>
    </row>
    <row r="20" spans="1:12">
      <c r="A20" s="11" t="s">
        <v>1683</v>
      </c>
      <c r="B20" s="11" t="s">
        <v>499</v>
      </c>
      <c r="C20" s="11" t="s">
        <v>1613</v>
      </c>
      <c r="D20" s="11" t="s">
        <v>1684</v>
      </c>
      <c r="E20" s="11" t="s">
        <v>505</v>
      </c>
      <c r="F20" s="11" t="s">
        <v>1685</v>
      </c>
      <c r="G20" s="11" t="s">
        <v>1686</v>
      </c>
      <c r="H20" s="11" t="s">
        <v>1641</v>
      </c>
      <c r="I20" s="18"/>
      <c r="J20" s="11"/>
      <c r="K20" s="11"/>
      <c r="L20" s="11"/>
    </row>
    <row r="21" spans="1:12">
      <c r="A21" s="11" t="s">
        <v>1687</v>
      </c>
      <c r="B21" s="11" t="s">
        <v>499</v>
      </c>
      <c r="C21" s="11" t="s">
        <v>1626</v>
      </c>
      <c r="D21" s="11" t="s">
        <v>1688</v>
      </c>
      <c r="E21" s="11" t="s">
        <v>547</v>
      </c>
      <c r="F21" s="11" t="s">
        <v>1689</v>
      </c>
      <c r="G21" s="11" t="s">
        <v>1690</v>
      </c>
      <c r="H21" s="11" t="s">
        <v>1641</v>
      </c>
      <c r="I21" s="18"/>
      <c r="J21" s="11"/>
      <c r="K21" s="11"/>
      <c r="L21" s="11"/>
    </row>
    <row r="22" spans="1:12">
      <c r="A22" s="11" t="s">
        <v>1691</v>
      </c>
      <c r="B22" s="11" t="s">
        <v>499</v>
      </c>
      <c r="C22" s="11" t="s">
        <v>1042</v>
      </c>
      <c r="D22" s="11" t="s">
        <v>1692</v>
      </c>
      <c r="E22" s="11" t="s">
        <v>1693</v>
      </c>
      <c r="F22" s="11" t="s">
        <v>1694</v>
      </c>
      <c r="G22" s="11" t="s">
        <v>1695</v>
      </c>
      <c r="H22" s="11" t="s">
        <v>1641</v>
      </c>
      <c r="I22" s="18"/>
      <c r="J22" s="11"/>
      <c r="K22" s="11"/>
      <c r="L22" s="11"/>
    </row>
    <row r="23" spans="1:12" ht="22.8" customHeight="1">
      <c r="A23" s="11" t="s">
        <v>1696</v>
      </c>
      <c r="B23" s="11" t="s">
        <v>499</v>
      </c>
      <c r="C23" s="11" t="s">
        <v>577</v>
      </c>
      <c r="D23" s="11" t="s">
        <v>1697</v>
      </c>
      <c r="E23" s="11" t="s">
        <v>1698</v>
      </c>
      <c r="F23" s="11" t="s">
        <v>1699</v>
      </c>
      <c r="G23" s="11" t="s">
        <v>1700</v>
      </c>
      <c r="H23" s="11" t="s">
        <v>1641</v>
      </c>
      <c r="I23" s="18"/>
      <c r="J23" s="11"/>
      <c r="K23" s="11"/>
      <c r="L23" s="11"/>
    </row>
    <row r="24" spans="1:12" ht="171" customHeight="1">
      <c r="A24" s="11" t="s">
        <v>1701</v>
      </c>
      <c r="B24" s="11" t="s">
        <v>499</v>
      </c>
      <c r="C24" s="11" t="s">
        <v>1680</v>
      </c>
      <c r="D24" s="11" t="s">
        <v>1702</v>
      </c>
      <c r="E24" s="11" t="s">
        <v>617</v>
      </c>
      <c r="F24" s="11" t="s">
        <v>1703</v>
      </c>
      <c r="G24" s="11" t="s">
        <v>619</v>
      </c>
      <c r="H24" s="11" t="s">
        <v>1641</v>
      </c>
      <c r="I24" s="18"/>
      <c r="J24" s="11"/>
      <c r="K24" s="11"/>
      <c r="L24" s="11"/>
    </row>
    <row r="25" spans="1:12" ht="171" customHeight="1">
      <c r="A25" s="11" t="s">
        <v>1704</v>
      </c>
      <c r="B25" s="11" t="s">
        <v>645</v>
      </c>
      <c r="C25" s="11" t="s">
        <v>1705</v>
      </c>
      <c r="D25" s="11" t="s">
        <v>1706</v>
      </c>
      <c r="E25" s="11" t="s">
        <v>1707</v>
      </c>
      <c r="F25" s="11" t="s">
        <v>1708</v>
      </c>
      <c r="G25" s="11" t="s">
        <v>1709</v>
      </c>
      <c r="H25" s="11" t="s">
        <v>1641</v>
      </c>
      <c r="I25" s="18"/>
      <c r="J25" s="11"/>
      <c r="K25" s="11"/>
      <c r="L25" s="11"/>
    </row>
    <row r="26" spans="1:12" ht="182.4" customHeight="1">
      <c r="A26" s="11" t="s">
        <v>1710</v>
      </c>
      <c r="B26" s="11" t="s">
        <v>645</v>
      </c>
      <c r="C26" s="11" t="s">
        <v>1711</v>
      </c>
      <c r="D26" s="11" t="s">
        <v>1712</v>
      </c>
      <c r="E26" s="11" t="s">
        <v>1713</v>
      </c>
      <c r="F26" s="11" t="s">
        <v>1714</v>
      </c>
      <c r="G26" s="11" t="s">
        <v>1715</v>
      </c>
      <c r="H26" s="11" t="s">
        <v>1641</v>
      </c>
      <c r="I26" s="18"/>
      <c r="J26" s="11"/>
      <c r="K26" s="11"/>
      <c r="L26" s="11"/>
    </row>
    <row r="27" spans="1:12">
      <c r="A27" s="11" t="s">
        <v>1716</v>
      </c>
      <c r="B27" s="11" t="s">
        <v>645</v>
      </c>
      <c r="C27" s="11" t="s">
        <v>1705</v>
      </c>
      <c r="D27" s="11" t="s">
        <v>1717</v>
      </c>
      <c r="E27" s="11" t="s">
        <v>752</v>
      </c>
      <c r="F27" s="11" t="s">
        <v>1718</v>
      </c>
      <c r="G27" s="11" t="s">
        <v>754</v>
      </c>
      <c r="H27" s="11" t="s">
        <v>1641</v>
      </c>
      <c r="I27" s="18"/>
      <c r="J27" s="11"/>
      <c r="K27" s="11"/>
      <c r="L27" s="11"/>
    </row>
    <row r="28" spans="1:12" ht="171" customHeight="1">
      <c r="A28" s="11" t="s">
        <v>1719</v>
      </c>
      <c r="B28" s="11" t="s">
        <v>645</v>
      </c>
      <c r="C28" s="11" t="s">
        <v>737</v>
      </c>
      <c r="D28" s="11" t="s">
        <v>1720</v>
      </c>
      <c r="E28" s="11" t="s">
        <v>1721</v>
      </c>
      <c r="F28" s="11" t="s">
        <v>1722</v>
      </c>
      <c r="G28" s="11" t="s">
        <v>1723</v>
      </c>
      <c r="H28" s="11" t="s">
        <v>1641</v>
      </c>
      <c r="I28" s="18"/>
      <c r="J28" s="11"/>
      <c r="K28" s="11"/>
      <c r="L28" s="11"/>
    </row>
    <row r="29" spans="1:12">
      <c r="A29" s="11" t="s">
        <v>1724</v>
      </c>
      <c r="B29" s="11" t="s">
        <v>645</v>
      </c>
      <c r="C29" s="11" t="s">
        <v>1725</v>
      </c>
      <c r="D29" s="11" t="s">
        <v>1726</v>
      </c>
      <c r="E29" s="11" t="s">
        <v>1727</v>
      </c>
      <c r="F29" s="11" t="s">
        <v>1728</v>
      </c>
      <c r="G29" s="11" t="s">
        <v>1729</v>
      </c>
      <c r="H29" s="11" t="s">
        <v>1641</v>
      </c>
      <c r="I29" s="18"/>
      <c r="J29" s="11"/>
      <c r="K29" s="11"/>
      <c r="L29" s="11"/>
    </row>
    <row r="30" spans="1:12" ht="22.8" customHeight="1">
      <c r="A30" s="11" t="s">
        <v>1730</v>
      </c>
      <c r="B30" s="11" t="s">
        <v>645</v>
      </c>
      <c r="C30" s="11" t="s">
        <v>1632</v>
      </c>
      <c r="D30" s="11" t="s">
        <v>1731</v>
      </c>
      <c r="E30" s="11" t="s">
        <v>943</v>
      </c>
      <c r="F30" s="11" t="s">
        <v>1732</v>
      </c>
      <c r="G30" s="11" t="s">
        <v>786</v>
      </c>
      <c r="H30" s="11" t="s">
        <v>1641</v>
      </c>
      <c r="I30" s="18"/>
      <c r="J30" s="11"/>
      <c r="K30" s="11"/>
      <c r="L30" s="11"/>
    </row>
    <row r="31" spans="1:12">
      <c r="A31" s="11" t="s">
        <v>1733</v>
      </c>
      <c r="B31" s="11" t="s">
        <v>812</v>
      </c>
      <c r="C31" s="11" t="s">
        <v>825</v>
      </c>
      <c r="D31" s="11" t="s">
        <v>1734</v>
      </c>
      <c r="E31" s="11" t="s">
        <v>830</v>
      </c>
      <c r="F31" s="11" t="s">
        <v>1735</v>
      </c>
      <c r="G31" s="11" t="s">
        <v>1736</v>
      </c>
      <c r="H31" s="11" t="s">
        <v>1641</v>
      </c>
      <c r="I31" s="18"/>
      <c r="J31" s="11"/>
      <c r="K31" s="11"/>
      <c r="L31" s="11"/>
    </row>
    <row r="32" spans="1:12">
      <c r="A32" s="11" t="s">
        <v>1737</v>
      </c>
      <c r="B32" s="11" t="s">
        <v>812</v>
      </c>
      <c r="C32" s="11" t="s">
        <v>1725</v>
      </c>
      <c r="D32" s="11" t="s">
        <v>1738</v>
      </c>
      <c r="E32" s="11" t="s">
        <v>1739</v>
      </c>
      <c r="F32" s="11" t="s">
        <v>1740</v>
      </c>
      <c r="G32" s="11" t="s">
        <v>1741</v>
      </c>
      <c r="H32" s="11" t="s">
        <v>1641</v>
      </c>
      <c r="I32" s="18"/>
      <c r="J32" s="11"/>
      <c r="K32" s="11"/>
      <c r="L32" s="11"/>
    </row>
    <row r="33" spans="1:12">
      <c r="A33" s="11" t="s">
        <v>1742</v>
      </c>
      <c r="B33" s="11" t="s">
        <v>812</v>
      </c>
      <c r="C33" s="11" t="s">
        <v>1743</v>
      </c>
      <c r="D33" s="11" t="s">
        <v>1744</v>
      </c>
      <c r="E33" s="11" t="s">
        <v>886</v>
      </c>
      <c r="F33" s="11" t="s">
        <v>1745</v>
      </c>
      <c r="G33" s="11" t="s">
        <v>1746</v>
      </c>
      <c r="H33" s="11" t="s">
        <v>1641</v>
      </c>
      <c r="I33" s="18"/>
      <c r="J33" s="11"/>
      <c r="K33" s="11"/>
      <c r="L33" s="11"/>
    </row>
    <row r="34" spans="1:12">
      <c r="A34" s="11" t="s">
        <v>1747</v>
      </c>
      <c r="B34" s="11" t="s">
        <v>812</v>
      </c>
      <c r="C34" s="11" t="s">
        <v>1748</v>
      </c>
      <c r="D34" s="11" t="s">
        <v>1749</v>
      </c>
      <c r="E34" s="11" t="s">
        <v>910</v>
      </c>
      <c r="F34" s="11" t="s">
        <v>1750</v>
      </c>
      <c r="G34" s="11" t="s">
        <v>1751</v>
      </c>
      <c r="H34" s="11" t="s">
        <v>1641</v>
      </c>
      <c r="I34" s="18"/>
      <c r="J34" s="11"/>
      <c r="K34" s="11"/>
      <c r="L34" s="11"/>
    </row>
    <row r="35" spans="1:12">
      <c r="A35" s="11" t="s">
        <v>1752</v>
      </c>
      <c r="B35" s="11" t="s">
        <v>812</v>
      </c>
      <c r="C35" s="11" t="s">
        <v>1676</v>
      </c>
      <c r="D35" s="11" t="s">
        <v>1753</v>
      </c>
      <c r="E35" s="11" t="s">
        <v>922</v>
      </c>
      <c r="F35" s="11" t="s">
        <v>1754</v>
      </c>
      <c r="G35" s="11" t="s">
        <v>924</v>
      </c>
      <c r="H35" s="11" t="s">
        <v>1641</v>
      </c>
      <c r="I35" s="18"/>
      <c r="J35" s="11"/>
      <c r="K35" s="11"/>
      <c r="L35" s="11"/>
    </row>
    <row r="36" spans="1:12" ht="171" customHeight="1">
      <c r="A36" s="11" t="s">
        <v>1755</v>
      </c>
      <c r="B36" s="11" t="s">
        <v>812</v>
      </c>
      <c r="C36" s="11" t="s">
        <v>1680</v>
      </c>
      <c r="D36" s="11" t="s">
        <v>1756</v>
      </c>
      <c r="E36" s="11" t="s">
        <v>933</v>
      </c>
      <c r="F36" s="11" t="s">
        <v>1757</v>
      </c>
      <c r="G36" s="11" t="s">
        <v>935</v>
      </c>
      <c r="H36" s="11" t="s">
        <v>1641</v>
      </c>
      <c r="I36" s="18"/>
      <c r="J36" s="11"/>
      <c r="K36" s="11"/>
      <c r="L36" s="11"/>
    </row>
    <row r="37" spans="1:12" ht="22.8" customHeight="1">
      <c r="A37" s="11" t="s">
        <v>1758</v>
      </c>
      <c r="B37" s="11" t="s">
        <v>812</v>
      </c>
      <c r="C37" s="11" t="s">
        <v>1632</v>
      </c>
      <c r="D37" s="11" t="s">
        <v>1759</v>
      </c>
      <c r="E37" s="11" t="s">
        <v>943</v>
      </c>
      <c r="F37" s="11" t="s">
        <v>1760</v>
      </c>
      <c r="G37" s="11" t="s">
        <v>945</v>
      </c>
      <c r="H37" s="11" t="s">
        <v>1641</v>
      </c>
      <c r="I37" s="18"/>
      <c r="J37" s="11"/>
      <c r="K37" s="11"/>
      <c r="L37" s="11"/>
    </row>
    <row r="38" spans="1:12" ht="42" customHeight="1">
      <c r="A38" s="23" t="s">
        <v>1761</v>
      </c>
      <c r="B38" s="23" t="s">
        <v>24</v>
      </c>
      <c r="C38" s="23" t="s">
        <v>1762</v>
      </c>
      <c r="D38" s="23" t="s">
        <v>1763</v>
      </c>
      <c r="E38" s="23" t="s">
        <v>1764</v>
      </c>
      <c r="F38" s="23" t="s">
        <v>1765</v>
      </c>
      <c r="G38" s="23" t="s">
        <v>35</v>
      </c>
      <c r="H38" s="23" t="s">
        <v>1617</v>
      </c>
      <c r="I38" s="25">
        <v>46252</v>
      </c>
      <c r="J38" s="23" t="s">
        <v>1766</v>
      </c>
      <c r="K38" s="23" t="s">
        <v>1767</v>
      </c>
      <c r="L38" s="23" t="s">
        <v>1620</v>
      </c>
    </row>
    <row r="39" spans="1:12" ht="42" customHeight="1">
      <c r="A39" s="22" t="s">
        <v>1768</v>
      </c>
      <c r="B39" s="22" t="s">
        <v>24</v>
      </c>
      <c r="C39" s="22" t="s">
        <v>43</v>
      </c>
      <c r="D39" s="22" t="s">
        <v>1769</v>
      </c>
      <c r="E39" s="22" t="s">
        <v>49</v>
      </c>
      <c r="F39" s="22" t="s">
        <v>1770</v>
      </c>
      <c r="G39" s="22" t="s">
        <v>51</v>
      </c>
      <c r="H39" s="22" t="s">
        <v>1617</v>
      </c>
      <c r="I39" s="26">
        <v>46252</v>
      </c>
      <c r="J39" s="22" t="s">
        <v>1771</v>
      </c>
      <c r="K39" s="22" t="s">
        <v>1772</v>
      </c>
      <c r="L39" s="22" t="s">
        <v>1620</v>
      </c>
    </row>
  </sheetData>
  <mergeCells count="2">
    <mergeCell ref="A2:L2"/>
    <mergeCell ref="A1:L1"/>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7" t="s">
        <v>1773</v>
      </c>
      <c r="B1" s="58"/>
      <c r="C1" s="58"/>
      <c r="D1" s="58"/>
      <c r="E1" s="58"/>
      <c r="F1" s="58"/>
      <c r="G1" s="58"/>
      <c r="H1" s="58"/>
      <c r="I1" s="58"/>
      <c r="J1" s="58"/>
      <c r="K1" s="58"/>
    </row>
    <row r="2" spans="1:11" ht="31.95" customHeight="1">
      <c r="A2" s="59" t="s">
        <v>1774</v>
      </c>
      <c r="B2" s="58"/>
      <c r="C2" s="58"/>
      <c r="D2" s="58"/>
      <c r="E2" s="58"/>
      <c r="F2" s="58"/>
      <c r="G2" s="58"/>
      <c r="H2" s="58"/>
      <c r="I2" s="58"/>
      <c r="J2" s="58"/>
      <c r="K2" s="58"/>
    </row>
    <row r="5" spans="1:11" ht="28.05" customHeight="1">
      <c r="A5" s="1" t="s">
        <v>17</v>
      </c>
      <c r="B5" s="2" t="s">
        <v>1775</v>
      </c>
      <c r="C5" s="2" t="s">
        <v>20</v>
      </c>
      <c r="D5" s="2" t="s">
        <v>1776</v>
      </c>
      <c r="E5" s="2" t="s">
        <v>1777</v>
      </c>
      <c r="F5" s="2" t="s">
        <v>1778</v>
      </c>
      <c r="G5" s="2" t="s">
        <v>1779</v>
      </c>
      <c r="H5" s="2" t="s">
        <v>1780</v>
      </c>
      <c r="I5" s="2" t="s">
        <v>9</v>
      </c>
      <c r="J5" s="2" t="s">
        <v>1781</v>
      </c>
      <c r="K5" s="3" t="s">
        <v>1782</v>
      </c>
    </row>
    <row r="6" spans="1:11" ht="22.8" customHeight="1">
      <c r="A6" s="10" t="s">
        <v>36</v>
      </c>
      <c r="B6" s="10" t="s">
        <v>1783</v>
      </c>
      <c r="C6" s="10" t="s">
        <v>1784</v>
      </c>
      <c r="D6" s="10" t="s">
        <v>24</v>
      </c>
      <c r="E6" s="10" t="s">
        <v>1785</v>
      </c>
      <c r="F6" s="10" t="s">
        <v>1786</v>
      </c>
      <c r="G6" s="10" t="s">
        <v>1787</v>
      </c>
      <c r="H6" s="10" t="s">
        <v>1788</v>
      </c>
      <c r="I6" s="10" t="s">
        <v>29</v>
      </c>
      <c r="J6" s="10" t="s">
        <v>1789</v>
      </c>
      <c r="K6" s="10"/>
    </row>
    <row r="7" spans="1:11" ht="22.8" customHeight="1">
      <c r="A7" s="11" t="s">
        <v>91</v>
      </c>
      <c r="B7" s="11" t="s">
        <v>1790</v>
      </c>
      <c r="C7" s="11" t="s">
        <v>1784</v>
      </c>
      <c r="D7" s="11" t="s">
        <v>24</v>
      </c>
      <c r="E7" s="11" t="s">
        <v>1791</v>
      </c>
      <c r="F7" s="11" t="s">
        <v>1792</v>
      </c>
      <c r="G7" s="11" t="s">
        <v>1793</v>
      </c>
      <c r="H7" s="11" t="s">
        <v>1794</v>
      </c>
      <c r="I7" s="11" t="s">
        <v>29</v>
      </c>
      <c r="J7" s="11" t="s">
        <v>1795</v>
      </c>
      <c r="K7" s="11"/>
    </row>
    <row r="8" spans="1:11" ht="22.8" customHeight="1">
      <c r="A8" s="11" t="s">
        <v>226</v>
      </c>
      <c r="B8" s="11" t="s">
        <v>1796</v>
      </c>
      <c r="C8" s="11" t="s">
        <v>1784</v>
      </c>
      <c r="D8" s="11" t="s">
        <v>195</v>
      </c>
      <c r="E8" s="11" t="s">
        <v>1797</v>
      </c>
      <c r="F8" s="11" t="s">
        <v>1798</v>
      </c>
      <c r="G8" s="11" t="s">
        <v>1799</v>
      </c>
      <c r="H8" s="11" t="s">
        <v>1800</v>
      </c>
      <c r="I8" s="11" t="s">
        <v>29</v>
      </c>
      <c r="J8" s="11" t="s">
        <v>1801</v>
      </c>
      <c r="K8" s="11"/>
    </row>
    <row r="9" spans="1:11" ht="22.8" customHeight="1">
      <c r="A9" s="11" t="s">
        <v>369</v>
      </c>
      <c r="B9" s="11" t="s">
        <v>1802</v>
      </c>
      <c r="C9" s="11" t="s">
        <v>1784</v>
      </c>
      <c r="D9" s="11" t="s">
        <v>347</v>
      </c>
      <c r="E9" s="11" t="s">
        <v>1803</v>
      </c>
      <c r="F9" s="11" t="s">
        <v>1804</v>
      </c>
      <c r="G9" s="11" t="s">
        <v>1805</v>
      </c>
      <c r="H9" s="11" t="s">
        <v>1806</v>
      </c>
      <c r="I9" s="11" t="s">
        <v>29</v>
      </c>
      <c r="J9" s="11" t="s">
        <v>1807</v>
      </c>
      <c r="K9" s="11"/>
    </row>
    <row r="10" spans="1:11" ht="22.8" customHeight="1">
      <c r="A10" s="11" t="s">
        <v>529</v>
      </c>
      <c r="B10" s="11" t="s">
        <v>1808</v>
      </c>
      <c r="C10" s="11" t="s">
        <v>1784</v>
      </c>
      <c r="D10" s="11" t="s">
        <v>499</v>
      </c>
      <c r="E10" s="11" t="s">
        <v>1809</v>
      </c>
      <c r="F10" s="11" t="s">
        <v>1810</v>
      </c>
      <c r="G10" s="11" t="s">
        <v>1811</v>
      </c>
      <c r="H10" s="11" t="s">
        <v>1812</v>
      </c>
      <c r="I10" s="11" t="s">
        <v>29</v>
      </c>
      <c r="J10" s="11" t="s">
        <v>1813</v>
      </c>
      <c r="K10" s="11"/>
    </row>
    <row r="11" spans="1:11" ht="22.8" customHeight="1">
      <c r="A11" s="11" t="s">
        <v>274</v>
      </c>
      <c r="B11" s="11" t="s">
        <v>1814</v>
      </c>
      <c r="C11" s="11" t="s">
        <v>1784</v>
      </c>
      <c r="D11" s="11" t="s">
        <v>195</v>
      </c>
      <c r="E11" s="11" t="s">
        <v>1815</v>
      </c>
      <c r="F11" s="11" t="s">
        <v>1816</v>
      </c>
      <c r="G11" s="11" t="s">
        <v>1817</v>
      </c>
      <c r="H11" s="11" t="s">
        <v>1818</v>
      </c>
      <c r="I11" s="11" t="s">
        <v>29</v>
      </c>
      <c r="J11" s="11" t="s">
        <v>1819</v>
      </c>
      <c r="K11" s="11"/>
    </row>
    <row r="12" spans="1:11" ht="22.8" customHeight="1">
      <c r="A12" s="11" t="s">
        <v>508</v>
      </c>
      <c r="B12" s="11" t="s">
        <v>1820</v>
      </c>
      <c r="C12" s="11" t="s">
        <v>1784</v>
      </c>
      <c r="D12" s="11" t="s">
        <v>499</v>
      </c>
      <c r="E12" s="11" t="s">
        <v>1821</v>
      </c>
      <c r="F12" s="11" t="s">
        <v>1822</v>
      </c>
      <c r="G12" s="11" t="s">
        <v>1823</v>
      </c>
      <c r="H12" s="11" t="s">
        <v>1824</v>
      </c>
      <c r="I12" s="11" t="s">
        <v>29</v>
      </c>
      <c r="J12" s="11" t="s">
        <v>1825</v>
      </c>
      <c r="K12" s="11"/>
    </row>
    <row r="13" spans="1:11" ht="22.8" customHeight="1">
      <c r="A13" s="11" t="s">
        <v>451</v>
      </c>
      <c r="B13" s="11" t="s">
        <v>1826</v>
      </c>
      <c r="C13" s="11" t="s">
        <v>1784</v>
      </c>
      <c r="D13" s="11" t="s">
        <v>347</v>
      </c>
      <c r="E13" s="11" t="s">
        <v>1827</v>
      </c>
      <c r="F13" s="11" t="s">
        <v>1828</v>
      </c>
      <c r="G13" s="11" t="s">
        <v>1829</v>
      </c>
      <c r="H13" s="11" t="s">
        <v>1830</v>
      </c>
      <c r="I13" s="11" t="s">
        <v>29</v>
      </c>
      <c r="J13" s="11" t="s">
        <v>1831</v>
      </c>
      <c r="K13" s="11"/>
    </row>
    <row r="14" spans="1:11" ht="22.8" customHeight="1">
      <c r="A14" s="11" t="s">
        <v>139</v>
      </c>
      <c r="B14" s="11" t="s">
        <v>1832</v>
      </c>
      <c r="C14" s="11" t="s">
        <v>1784</v>
      </c>
      <c r="D14" s="11" t="s">
        <v>24</v>
      </c>
      <c r="E14" s="11" t="s">
        <v>1833</v>
      </c>
      <c r="F14" s="11" t="s">
        <v>1834</v>
      </c>
      <c r="G14" s="11" t="s">
        <v>1835</v>
      </c>
      <c r="H14" s="11" t="s">
        <v>1836</v>
      </c>
      <c r="I14" s="11" t="s">
        <v>29</v>
      </c>
      <c r="J14" s="11" t="s">
        <v>1837</v>
      </c>
      <c r="K14" s="11"/>
    </row>
    <row r="15" spans="1:11" ht="22.8" customHeight="1">
      <c r="A15" s="11" t="s">
        <v>1838</v>
      </c>
      <c r="B15" s="11" t="s">
        <v>1839</v>
      </c>
      <c r="C15" s="11" t="s">
        <v>1784</v>
      </c>
      <c r="D15" s="11" t="s">
        <v>24</v>
      </c>
      <c r="E15" s="11" t="s">
        <v>1840</v>
      </c>
      <c r="F15" s="11" t="s">
        <v>1841</v>
      </c>
      <c r="G15" s="11" t="s">
        <v>1842</v>
      </c>
      <c r="H15" s="11" t="s">
        <v>1843</v>
      </c>
      <c r="I15" s="11" t="s">
        <v>29</v>
      </c>
      <c r="J15" s="11" t="s">
        <v>1844</v>
      </c>
      <c r="K15" s="11"/>
    </row>
    <row r="16" spans="1:11" ht="22.8" customHeight="1">
      <c r="A16" s="11" t="s">
        <v>1845</v>
      </c>
      <c r="B16" s="11" t="s">
        <v>1846</v>
      </c>
      <c r="C16" s="11" t="s">
        <v>1784</v>
      </c>
      <c r="D16" s="11" t="s">
        <v>24</v>
      </c>
      <c r="E16" s="11" t="s">
        <v>1847</v>
      </c>
      <c r="F16" s="11" t="s">
        <v>1848</v>
      </c>
      <c r="G16" s="11" t="s">
        <v>1849</v>
      </c>
      <c r="H16" s="11" t="s">
        <v>1850</v>
      </c>
      <c r="I16" s="11" t="s">
        <v>29</v>
      </c>
      <c r="J16" s="11" t="s">
        <v>1851</v>
      </c>
      <c r="K16" s="11"/>
    </row>
    <row r="17" spans="1:11" ht="22.8" customHeight="1">
      <c r="A17" s="11" t="s">
        <v>474</v>
      </c>
      <c r="B17" s="11" t="s">
        <v>1852</v>
      </c>
      <c r="C17" s="11" t="s">
        <v>1784</v>
      </c>
      <c r="D17" s="11" t="s">
        <v>24</v>
      </c>
      <c r="E17" s="11" t="s">
        <v>1853</v>
      </c>
      <c r="F17" s="11" t="s">
        <v>1854</v>
      </c>
      <c r="G17" s="11" t="s">
        <v>1855</v>
      </c>
      <c r="H17" s="11" t="s">
        <v>1856</v>
      </c>
      <c r="I17" s="11" t="s">
        <v>29</v>
      </c>
      <c r="J17" s="11" t="s">
        <v>1857</v>
      </c>
      <c r="K17" s="11"/>
    </row>
    <row r="18" spans="1:11" ht="22.8" customHeight="1">
      <c r="A18" s="11" t="s">
        <v>1858</v>
      </c>
      <c r="B18" s="11" t="s">
        <v>1859</v>
      </c>
      <c r="C18" s="11" t="s">
        <v>1784</v>
      </c>
      <c r="D18" s="11" t="s">
        <v>24</v>
      </c>
      <c r="E18" s="11" t="s">
        <v>1860</v>
      </c>
      <c r="F18" s="11" t="s">
        <v>1861</v>
      </c>
      <c r="G18" s="11" t="s">
        <v>1862</v>
      </c>
      <c r="H18" s="11" t="s">
        <v>1863</v>
      </c>
      <c r="I18" s="11" t="s">
        <v>29</v>
      </c>
      <c r="J18" s="11" t="s">
        <v>1864</v>
      </c>
      <c r="K18" s="11"/>
    </row>
    <row r="19" spans="1:11" ht="22.8" customHeight="1">
      <c r="A19" s="11" t="s">
        <v>1865</v>
      </c>
      <c r="B19" s="11" t="s">
        <v>1866</v>
      </c>
      <c r="C19" s="11" t="s">
        <v>1784</v>
      </c>
      <c r="D19" s="11" t="s">
        <v>24</v>
      </c>
      <c r="E19" s="11" t="s">
        <v>1867</v>
      </c>
      <c r="F19" s="11" t="s">
        <v>1868</v>
      </c>
      <c r="G19" s="11" t="s">
        <v>1869</v>
      </c>
      <c r="H19" s="11" t="s">
        <v>1870</v>
      </c>
      <c r="I19" s="11" t="s">
        <v>29</v>
      </c>
      <c r="J19" s="11" t="s">
        <v>1871</v>
      </c>
      <c r="K19" s="11"/>
    </row>
    <row r="20" spans="1:11">
      <c r="A20" s="11" t="s">
        <v>833</v>
      </c>
      <c r="B20" s="11" t="s">
        <v>1872</v>
      </c>
      <c r="C20" s="11" t="s">
        <v>1784</v>
      </c>
      <c r="D20" s="11" t="s">
        <v>812</v>
      </c>
      <c r="E20" s="11" t="s">
        <v>1873</v>
      </c>
      <c r="F20" s="11" t="s">
        <v>1874</v>
      </c>
      <c r="G20" s="11" t="s">
        <v>1875</v>
      </c>
      <c r="H20" s="11" t="s">
        <v>1876</v>
      </c>
      <c r="I20" s="11" t="s">
        <v>29</v>
      </c>
      <c r="J20" s="11" t="s">
        <v>1877</v>
      </c>
      <c r="K20" s="11"/>
    </row>
    <row r="21" spans="1:11">
      <c r="A21" s="11" t="s">
        <v>52</v>
      </c>
      <c r="B21" s="11" t="s">
        <v>1878</v>
      </c>
      <c r="C21" s="11" t="s">
        <v>1784</v>
      </c>
      <c r="D21" s="11" t="s">
        <v>24</v>
      </c>
      <c r="E21" s="11" t="s">
        <v>1879</v>
      </c>
      <c r="F21" s="11" t="s">
        <v>1880</v>
      </c>
      <c r="G21" s="11" t="s">
        <v>1881</v>
      </c>
      <c r="H21" s="11" t="s">
        <v>1882</v>
      </c>
      <c r="I21" s="11" t="s">
        <v>29</v>
      </c>
      <c r="J21" s="11" t="s">
        <v>1883</v>
      </c>
      <c r="K21" s="11"/>
    </row>
    <row r="22" spans="1:11" ht="22.8" customHeight="1">
      <c r="A22" s="11" t="s">
        <v>103</v>
      </c>
      <c r="B22" s="11" t="s">
        <v>1884</v>
      </c>
      <c r="C22" s="11" t="s">
        <v>1784</v>
      </c>
      <c r="D22" s="11" t="s">
        <v>24</v>
      </c>
      <c r="E22" s="11" t="s">
        <v>1885</v>
      </c>
      <c r="F22" s="11" t="s">
        <v>1886</v>
      </c>
      <c r="G22" s="11" t="s">
        <v>1887</v>
      </c>
      <c r="H22" s="11" t="s">
        <v>1888</v>
      </c>
      <c r="I22" s="11" t="s">
        <v>29</v>
      </c>
      <c r="J22" s="11" t="s">
        <v>1889</v>
      </c>
      <c r="K22" s="11"/>
    </row>
    <row r="23" spans="1:11" ht="22.8" customHeight="1">
      <c r="A23" s="11" t="s">
        <v>1890</v>
      </c>
      <c r="B23" s="11" t="s">
        <v>1891</v>
      </c>
      <c r="C23" s="11" t="s">
        <v>1784</v>
      </c>
      <c r="D23" s="11" t="s">
        <v>1563</v>
      </c>
      <c r="E23" s="11" t="s">
        <v>1892</v>
      </c>
      <c r="F23" s="11" t="s">
        <v>1893</v>
      </c>
      <c r="G23" s="11" t="s">
        <v>1894</v>
      </c>
      <c r="H23" s="11" t="s">
        <v>1895</v>
      </c>
      <c r="I23" s="11" t="s">
        <v>29</v>
      </c>
      <c r="J23" s="11" t="s">
        <v>1896</v>
      </c>
      <c r="K23" s="11"/>
    </row>
  </sheetData>
  <mergeCells count="2">
    <mergeCell ref="A2:K2"/>
    <mergeCell ref="A1:K1"/>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election activeCell="F34" sqref="F34"/>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7" t="s">
        <v>1897</v>
      </c>
      <c r="B1" s="58"/>
      <c r="C1" s="58"/>
      <c r="D1" s="58"/>
      <c r="E1" s="58"/>
      <c r="F1" s="58"/>
      <c r="G1" s="58"/>
      <c r="H1" s="58"/>
      <c r="I1" s="58"/>
      <c r="J1" s="58"/>
    </row>
    <row r="2" spans="1:10" ht="31.95" customHeight="1">
      <c r="A2" s="59" t="s">
        <v>1898</v>
      </c>
      <c r="B2" s="58"/>
      <c r="C2" s="58"/>
      <c r="D2" s="58"/>
      <c r="E2" s="58"/>
      <c r="F2" s="58"/>
      <c r="G2" s="58"/>
      <c r="H2" s="58"/>
      <c r="I2" s="58"/>
      <c r="J2" s="58"/>
    </row>
    <row r="5" spans="1:10" ht="28.05" customHeight="1">
      <c r="A5" s="1" t="s">
        <v>1899</v>
      </c>
      <c r="B5" s="2" t="s">
        <v>1900</v>
      </c>
      <c r="C5" s="2" t="s">
        <v>1901</v>
      </c>
      <c r="D5" s="2" t="s">
        <v>1902</v>
      </c>
      <c r="E5" s="2" t="s">
        <v>1903</v>
      </c>
      <c r="F5" s="2" t="s">
        <v>20</v>
      </c>
      <c r="G5" s="2" t="s">
        <v>9</v>
      </c>
      <c r="H5" s="2" t="s">
        <v>1904</v>
      </c>
      <c r="I5" s="2" t="s">
        <v>1905</v>
      </c>
      <c r="J5" s="3" t="s">
        <v>1906</v>
      </c>
    </row>
    <row r="6" spans="1:10" ht="68.400000000000006" hidden="1" customHeight="1">
      <c r="A6" s="10" t="s">
        <v>1907</v>
      </c>
      <c r="B6" s="10" t="s">
        <v>1908</v>
      </c>
      <c r="C6" s="19" t="s">
        <v>1909</v>
      </c>
      <c r="D6" s="10" t="s">
        <v>24</v>
      </c>
      <c r="E6" s="10" t="s">
        <v>1910</v>
      </c>
      <c r="F6" s="10" t="s">
        <v>39</v>
      </c>
      <c r="G6" s="10" t="s">
        <v>1003</v>
      </c>
      <c r="H6" s="10" t="s">
        <v>35</v>
      </c>
      <c r="I6" s="19" t="s">
        <v>1911</v>
      </c>
      <c r="J6" s="17">
        <v>46257</v>
      </c>
    </row>
    <row r="7" spans="1:10" ht="68.400000000000006" hidden="1" customHeight="1">
      <c r="A7" s="11" t="s">
        <v>1912</v>
      </c>
      <c r="B7" s="11" t="s">
        <v>1913</v>
      </c>
      <c r="C7" s="20" t="s">
        <v>1914</v>
      </c>
      <c r="D7" s="11" t="s">
        <v>24</v>
      </c>
      <c r="E7" s="11" t="s">
        <v>1910</v>
      </c>
      <c r="F7" s="11" t="s">
        <v>39</v>
      </c>
      <c r="G7" s="11" t="s">
        <v>1003</v>
      </c>
      <c r="H7" s="11" t="s">
        <v>35</v>
      </c>
      <c r="I7" s="20" t="s">
        <v>1915</v>
      </c>
      <c r="J7" s="18">
        <v>46252</v>
      </c>
    </row>
    <row r="8" spans="1:10" hidden="1">
      <c r="A8" s="11" t="s">
        <v>1916</v>
      </c>
      <c r="B8" s="11" t="s">
        <v>43</v>
      </c>
      <c r="C8" s="20" t="s">
        <v>1917</v>
      </c>
      <c r="D8" s="11" t="s">
        <v>195</v>
      </c>
      <c r="E8" s="11" t="s">
        <v>1910</v>
      </c>
      <c r="F8" s="11" t="s">
        <v>39</v>
      </c>
      <c r="G8" s="11" t="s">
        <v>29</v>
      </c>
      <c r="H8" s="11" t="s">
        <v>1918</v>
      </c>
      <c r="I8" s="20"/>
      <c r="J8" s="18"/>
    </row>
    <row r="9" spans="1:10" hidden="1">
      <c r="A9" s="11" t="s">
        <v>269</v>
      </c>
      <c r="B9" s="11" t="s">
        <v>266</v>
      </c>
      <c r="C9" s="20" t="s">
        <v>1919</v>
      </c>
      <c r="D9" s="11" t="s">
        <v>195</v>
      </c>
      <c r="E9" s="11" t="s">
        <v>1910</v>
      </c>
      <c r="F9" s="11" t="s">
        <v>39</v>
      </c>
      <c r="G9" s="11" t="s">
        <v>29</v>
      </c>
      <c r="H9" s="11" t="s">
        <v>1920</v>
      </c>
      <c r="I9" s="20"/>
      <c r="J9" s="18"/>
    </row>
    <row r="10" spans="1:10" hidden="1">
      <c r="A10" s="11" t="s">
        <v>423</v>
      </c>
      <c r="B10" s="11" t="s">
        <v>1676</v>
      </c>
      <c r="C10" s="20" t="s">
        <v>1921</v>
      </c>
      <c r="D10" s="11" t="s">
        <v>347</v>
      </c>
      <c r="E10" s="11" t="s">
        <v>1910</v>
      </c>
      <c r="F10" s="11" t="s">
        <v>39</v>
      </c>
      <c r="G10" s="11" t="s">
        <v>29</v>
      </c>
      <c r="H10" s="11" t="s">
        <v>1922</v>
      </c>
      <c r="I10" s="20"/>
      <c r="J10" s="18"/>
    </row>
    <row r="11" spans="1:10">
      <c r="A11" s="11" t="s">
        <v>1923</v>
      </c>
      <c r="B11" s="11" t="s">
        <v>1924</v>
      </c>
      <c r="C11" s="20" t="s">
        <v>1925</v>
      </c>
      <c r="D11" s="11" t="s">
        <v>645</v>
      </c>
      <c r="E11" s="11" t="s">
        <v>1910</v>
      </c>
      <c r="F11" s="11" t="s">
        <v>656</v>
      </c>
      <c r="G11" s="11" t="s">
        <v>29</v>
      </c>
      <c r="H11" s="11" t="s">
        <v>1926</v>
      </c>
      <c r="I11" s="20"/>
      <c r="J11" s="18"/>
    </row>
    <row r="12" spans="1:10" ht="68.400000000000006" hidden="1" customHeight="1">
      <c r="A12" s="11" t="s">
        <v>1927</v>
      </c>
      <c r="B12" s="11" t="s">
        <v>1924</v>
      </c>
      <c r="C12" s="20" t="s">
        <v>1928</v>
      </c>
      <c r="D12" s="11" t="s">
        <v>24</v>
      </c>
      <c r="E12" s="11" t="s">
        <v>1910</v>
      </c>
      <c r="F12" s="11" t="s">
        <v>39</v>
      </c>
      <c r="G12" s="11" t="s">
        <v>1003</v>
      </c>
      <c r="H12" s="11" t="s">
        <v>1929</v>
      </c>
      <c r="I12" s="20" t="s">
        <v>1930</v>
      </c>
      <c r="J12" s="18">
        <v>46252</v>
      </c>
    </row>
    <row r="13" spans="1:10" ht="22.8" customHeight="1">
      <c r="A13" s="11" t="s">
        <v>1931</v>
      </c>
      <c r="B13" s="11" t="s">
        <v>1932</v>
      </c>
      <c r="C13" s="20" t="s">
        <v>1933</v>
      </c>
      <c r="D13" s="11" t="s">
        <v>645</v>
      </c>
      <c r="E13" s="11" t="s">
        <v>1910</v>
      </c>
      <c r="F13" s="11" t="s">
        <v>656</v>
      </c>
      <c r="G13" s="11" t="s">
        <v>29</v>
      </c>
      <c r="H13" s="11" t="s">
        <v>1934</v>
      </c>
      <c r="I13" s="20"/>
      <c r="J13" s="18"/>
    </row>
    <row r="14" spans="1:10" ht="91.2" hidden="1" customHeight="1">
      <c r="A14" s="11" t="s">
        <v>62</v>
      </c>
      <c r="B14" s="11" t="s">
        <v>43</v>
      </c>
      <c r="C14" s="20" t="s">
        <v>1935</v>
      </c>
      <c r="D14" s="11" t="s">
        <v>24</v>
      </c>
      <c r="E14" s="11" t="s">
        <v>1910</v>
      </c>
      <c r="F14" s="11" t="s">
        <v>39</v>
      </c>
      <c r="G14" s="11" t="s">
        <v>1003</v>
      </c>
      <c r="H14" s="11" t="s">
        <v>1936</v>
      </c>
      <c r="I14" s="20" t="s">
        <v>1937</v>
      </c>
      <c r="J14" s="18">
        <v>46252</v>
      </c>
    </row>
    <row r="15" spans="1:10">
      <c r="A15" s="11" t="s">
        <v>1938</v>
      </c>
      <c r="B15" s="11" t="s">
        <v>1626</v>
      </c>
      <c r="C15" s="20" t="s">
        <v>1939</v>
      </c>
      <c r="D15" s="11" t="s">
        <v>645</v>
      </c>
      <c r="E15" s="11" t="s">
        <v>1910</v>
      </c>
      <c r="F15" s="11" t="s">
        <v>656</v>
      </c>
      <c r="G15" s="11" t="s">
        <v>29</v>
      </c>
      <c r="H15" s="11" t="s">
        <v>1934</v>
      </c>
      <c r="I15" s="20"/>
      <c r="J15" s="18"/>
    </row>
    <row r="16" spans="1:10">
      <c r="A16" s="11" t="s">
        <v>728</v>
      </c>
      <c r="B16" s="11" t="s">
        <v>724</v>
      </c>
      <c r="C16" s="20" t="s">
        <v>1940</v>
      </c>
      <c r="D16" s="11" t="s">
        <v>645</v>
      </c>
      <c r="E16" s="11" t="s">
        <v>1910</v>
      </c>
      <c r="F16" s="11" t="s">
        <v>656</v>
      </c>
      <c r="G16" s="11" t="s">
        <v>29</v>
      </c>
      <c r="H16" s="11" t="s">
        <v>1941</v>
      </c>
      <c r="I16" s="20"/>
      <c r="J16" s="18"/>
    </row>
    <row r="17" spans="1:10">
      <c r="A17" s="11" t="s">
        <v>352</v>
      </c>
      <c r="B17" s="11" t="s">
        <v>1942</v>
      </c>
      <c r="C17" s="20" t="s">
        <v>1943</v>
      </c>
      <c r="D17" s="11" t="s">
        <v>347</v>
      </c>
      <c r="E17" s="11" t="s">
        <v>1910</v>
      </c>
      <c r="F17" s="11" t="s">
        <v>656</v>
      </c>
      <c r="G17" s="11" t="s">
        <v>29</v>
      </c>
      <c r="H17" s="11" t="s">
        <v>1944</v>
      </c>
      <c r="I17" s="20"/>
      <c r="J17" s="18"/>
    </row>
    <row r="18" spans="1:10" hidden="1">
      <c r="A18" s="11" t="s">
        <v>245</v>
      </c>
      <c r="B18" s="11" t="s">
        <v>1942</v>
      </c>
      <c r="C18" s="20" t="s">
        <v>1945</v>
      </c>
      <c r="D18" s="11" t="s">
        <v>195</v>
      </c>
      <c r="E18" s="11" t="s">
        <v>1910</v>
      </c>
      <c r="F18" s="11" t="s">
        <v>39</v>
      </c>
      <c r="G18" s="11" t="s">
        <v>29</v>
      </c>
      <c r="H18" s="11" t="s">
        <v>1090</v>
      </c>
      <c r="I18" s="20"/>
      <c r="J18" s="18"/>
    </row>
    <row r="19" spans="1:10" hidden="1">
      <c r="A19" s="11" t="s">
        <v>281</v>
      </c>
      <c r="B19" s="11" t="s">
        <v>1725</v>
      </c>
      <c r="C19" s="20" t="s">
        <v>1946</v>
      </c>
      <c r="D19" s="11" t="s">
        <v>195</v>
      </c>
      <c r="E19" s="11" t="s">
        <v>1910</v>
      </c>
      <c r="F19" s="11" t="s">
        <v>39</v>
      </c>
      <c r="G19" s="11" t="s">
        <v>29</v>
      </c>
      <c r="H19" s="11" t="s">
        <v>1947</v>
      </c>
      <c r="I19" s="20"/>
      <c r="J19" s="18"/>
    </row>
    <row r="20" spans="1:10" ht="79.8" hidden="1" customHeight="1">
      <c r="A20" s="11" t="s">
        <v>122</v>
      </c>
      <c r="B20" s="11" t="s">
        <v>119</v>
      </c>
      <c r="C20" s="20" t="s">
        <v>1948</v>
      </c>
      <c r="D20" s="11" t="s">
        <v>24</v>
      </c>
      <c r="E20" s="11" t="s">
        <v>1949</v>
      </c>
      <c r="F20" s="11" t="s">
        <v>39</v>
      </c>
      <c r="G20" s="11" t="s">
        <v>1003</v>
      </c>
      <c r="H20" s="11" t="s">
        <v>1950</v>
      </c>
      <c r="I20" s="20" t="s">
        <v>1951</v>
      </c>
      <c r="J20" s="18">
        <v>46252</v>
      </c>
    </row>
    <row r="21" spans="1:10" ht="22.8" hidden="1" customHeight="1">
      <c r="A21" s="11" t="s">
        <v>481</v>
      </c>
      <c r="B21" s="11" t="s">
        <v>1952</v>
      </c>
      <c r="C21" s="20" t="s">
        <v>1953</v>
      </c>
      <c r="D21" s="11" t="s">
        <v>499</v>
      </c>
      <c r="E21" s="11" t="s">
        <v>1910</v>
      </c>
      <c r="F21" s="11" t="s">
        <v>39</v>
      </c>
      <c r="G21" s="11" t="s">
        <v>29</v>
      </c>
      <c r="H21" s="11" t="s">
        <v>1954</v>
      </c>
      <c r="I21" s="20"/>
      <c r="J21" s="18"/>
    </row>
    <row r="22" spans="1:10" hidden="1">
      <c r="A22" s="11" t="s">
        <v>446</v>
      </c>
      <c r="B22" s="11" t="s">
        <v>1955</v>
      </c>
      <c r="C22" s="20" t="s">
        <v>1956</v>
      </c>
      <c r="D22" s="11" t="s">
        <v>812</v>
      </c>
      <c r="E22" s="11" t="s">
        <v>1910</v>
      </c>
      <c r="F22" s="11" t="s">
        <v>800</v>
      </c>
      <c r="G22" s="11" t="s">
        <v>29</v>
      </c>
      <c r="H22" s="11" t="s">
        <v>1957</v>
      </c>
      <c r="I22" s="20"/>
      <c r="J22" s="18"/>
    </row>
    <row r="23" spans="1:10" hidden="1">
      <c r="A23" s="11" t="s">
        <v>458</v>
      </c>
      <c r="B23" s="11" t="s">
        <v>1743</v>
      </c>
      <c r="C23" s="20" t="s">
        <v>1958</v>
      </c>
      <c r="D23" s="11" t="s">
        <v>812</v>
      </c>
      <c r="E23" s="11" t="s">
        <v>1910</v>
      </c>
      <c r="F23" s="11" t="s">
        <v>800</v>
      </c>
      <c r="G23" s="11" t="s">
        <v>29</v>
      </c>
      <c r="H23" s="11" t="s">
        <v>888</v>
      </c>
      <c r="I23" s="20"/>
      <c r="J23" s="18"/>
    </row>
    <row r="24" spans="1:10" ht="22.8" customHeight="1">
      <c r="A24" s="11" t="s">
        <v>558</v>
      </c>
      <c r="B24" s="11" t="s">
        <v>1959</v>
      </c>
      <c r="C24" s="20" t="s">
        <v>1960</v>
      </c>
      <c r="D24" s="11" t="s">
        <v>499</v>
      </c>
      <c r="E24" s="11" t="s">
        <v>1910</v>
      </c>
      <c r="F24" s="11" t="s">
        <v>656</v>
      </c>
      <c r="G24" s="11" t="s">
        <v>29</v>
      </c>
      <c r="H24" s="11" t="s">
        <v>1961</v>
      </c>
      <c r="I24" s="20"/>
      <c r="J24" s="18"/>
    </row>
    <row r="25" spans="1:10" ht="22.8" hidden="1" customHeight="1">
      <c r="A25" s="11" t="s">
        <v>816</v>
      </c>
      <c r="B25" s="11" t="s">
        <v>825</v>
      </c>
      <c r="C25" s="20" t="s">
        <v>1962</v>
      </c>
      <c r="D25" s="11" t="s">
        <v>812</v>
      </c>
      <c r="E25" s="11" t="s">
        <v>1910</v>
      </c>
      <c r="F25" s="11" t="s">
        <v>800</v>
      </c>
      <c r="G25" s="11" t="s">
        <v>29</v>
      </c>
      <c r="H25" s="11" t="s">
        <v>1963</v>
      </c>
      <c r="I25" s="20"/>
      <c r="J25" s="18"/>
    </row>
    <row r="26" spans="1:10">
      <c r="A26" s="11" t="s">
        <v>569</v>
      </c>
      <c r="B26" s="11" t="s">
        <v>43</v>
      </c>
      <c r="C26" s="20" t="s">
        <v>1964</v>
      </c>
      <c r="D26" s="11" t="s">
        <v>499</v>
      </c>
      <c r="E26" s="11" t="s">
        <v>1949</v>
      </c>
      <c r="F26" s="11" t="s">
        <v>656</v>
      </c>
      <c r="G26" s="11" t="s">
        <v>29</v>
      </c>
      <c r="H26" s="11" t="s">
        <v>1965</v>
      </c>
      <c r="I26" s="20"/>
      <c r="J26" s="18"/>
    </row>
    <row r="27" spans="1:10" ht="22.8" hidden="1" customHeight="1">
      <c r="A27" s="11" t="s">
        <v>908</v>
      </c>
      <c r="B27" s="11" t="s">
        <v>1748</v>
      </c>
      <c r="C27" s="20" t="s">
        <v>1966</v>
      </c>
      <c r="D27" s="11" t="s">
        <v>812</v>
      </c>
      <c r="E27" s="11" t="s">
        <v>1949</v>
      </c>
      <c r="F27" s="11" t="s">
        <v>800</v>
      </c>
      <c r="G27" s="11" t="s">
        <v>29</v>
      </c>
      <c r="H27" s="11" t="s">
        <v>1967</v>
      </c>
      <c r="I27" s="20"/>
      <c r="J27" s="18"/>
    </row>
    <row r="28" spans="1:10" ht="68.400000000000006" hidden="1" customHeight="1">
      <c r="A28" s="11" t="s">
        <v>305</v>
      </c>
      <c r="B28" s="11" t="s">
        <v>1968</v>
      </c>
      <c r="C28" s="20" t="s">
        <v>1969</v>
      </c>
      <c r="D28" s="11" t="s">
        <v>24</v>
      </c>
      <c r="E28" s="11" t="s">
        <v>1910</v>
      </c>
      <c r="F28" s="11" t="s">
        <v>39</v>
      </c>
      <c r="G28" s="11" t="s">
        <v>1003</v>
      </c>
      <c r="H28" s="11" t="s">
        <v>1970</v>
      </c>
      <c r="I28" s="20" t="s">
        <v>1971</v>
      </c>
      <c r="J28" s="18">
        <v>46252</v>
      </c>
    </row>
    <row r="29" spans="1:10" ht="22.8" customHeight="1">
      <c r="A29" s="11" t="s">
        <v>1972</v>
      </c>
      <c r="B29" s="11" t="s">
        <v>266</v>
      </c>
      <c r="C29" s="20" t="s">
        <v>1973</v>
      </c>
      <c r="D29" s="11" t="s">
        <v>645</v>
      </c>
      <c r="E29" s="11" t="s">
        <v>1910</v>
      </c>
      <c r="F29" s="11" t="s">
        <v>656</v>
      </c>
      <c r="G29" s="11" t="s">
        <v>29</v>
      </c>
      <c r="H29" s="11" t="s">
        <v>1974</v>
      </c>
      <c r="I29" s="20"/>
      <c r="J29" s="18"/>
    </row>
    <row r="30" spans="1:10" ht="22.8" customHeight="1">
      <c r="A30" s="11" t="s">
        <v>387</v>
      </c>
      <c r="B30" s="11" t="s">
        <v>1975</v>
      </c>
      <c r="C30" s="20" t="s">
        <v>1976</v>
      </c>
      <c r="D30" s="11" t="s">
        <v>347</v>
      </c>
      <c r="E30" s="11" t="s">
        <v>1949</v>
      </c>
      <c r="F30" s="11" t="s">
        <v>656</v>
      </c>
      <c r="G30" s="11" t="s">
        <v>29</v>
      </c>
      <c r="H30" s="11" t="s">
        <v>1977</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ustomHeight="1">
      <c r="A1" s="57" t="s">
        <v>1978</v>
      </c>
      <c r="B1" s="58"/>
      <c r="C1" s="58"/>
      <c r="D1" s="58"/>
      <c r="E1" s="58"/>
      <c r="F1" s="58"/>
      <c r="G1" s="58"/>
      <c r="H1" s="58"/>
      <c r="I1" s="58"/>
    </row>
    <row r="2" spans="1:9">
      <c r="A2" s="59" t="s">
        <v>1979</v>
      </c>
      <c r="B2" s="58"/>
      <c r="C2" s="58"/>
      <c r="D2" s="58"/>
      <c r="E2" s="58"/>
      <c r="F2" s="58"/>
      <c r="G2" s="58"/>
      <c r="H2" s="58"/>
      <c r="I2" s="58"/>
    </row>
    <row r="4" spans="1:9">
      <c r="A4" s="69" t="s">
        <v>1980</v>
      </c>
      <c r="B4" s="70"/>
      <c r="C4" s="70"/>
      <c r="D4" s="70"/>
      <c r="E4" s="70"/>
      <c r="F4" s="70"/>
      <c r="G4" s="70"/>
      <c r="H4" s="70"/>
      <c r="I4" s="71"/>
    </row>
    <row r="5" spans="1:9" ht="26.4" customHeight="1">
      <c r="A5" s="1" t="s">
        <v>1981</v>
      </c>
      <c r="B5" s="2" t="s">
        <v>1982</v>
      </c>
      <c r="C5" s="2" t="s">
        <v>1983</v>
      </c>
      <c r="D5" s="3" t="s">
        <v>1984</v>
      </c>
      <c r="F5" s="1" t="s">
        <v>1985</v>
      </c>
      <c r="G5" s="2" t="s">
        <v>1986</v>
      </c>
      <c r="H5" s="2" t="s">
        <v>1987</v>
      </c>
      <c r="I5" s="3" t="s">
        <v>1988</v>
      </c>
    </row>
    <row r="6" spans="1:9" ht="91.2" customHeight="1">
      <c r="A6" s="10" t="s">
        <v>612</v>
      </c>
      <c r="B6" s="10" t="s">
        <v>1989</v>
      </c>
      <c r="C6" s="10" t="s">
        <v>1990</v>
      </c>
      <c r="D6" s="10" t="s">
        <v>1991</v>
      </c>
      <c r="F6" s="10" t="s">
        <v>1992</v>
      </c>
      <c r="G6" s="10" t="s">
        <v>1993</v>
      </c>
      <c r="H6" s="10" t="s">
        <v>1994</v>
      </c>
      <c r="I6" s="10" t="s">
        <v>1995</v>
      </c>
    </row>
    <row r="7" spans="1:9" ht="125.4" customHeight="1">
      <c r="A7" s="11" t="s">
        <v>1996</v>
      </c>
      <c r="B7" s="11" t="s">
        <v>1997</v>
      </c>
      <c r="C7" s="11" t="s">
        <v>1998</v>
      </c>
      <c r="D7" s="11" t="s">
        <v>1999</v>
      </c>
      <c r="F7" s="11" t="s">
        <v>2000</v>
      </c>
      <c r="G7" s="11" t="s">
        <v>2001</v>
      </c>
      <c r="H7" s="11" t="s">
        <v>2002</v>
      </c>
      <c r="I7" s="11" t="s">
        <v>2003</v>
      </c>
    </row>
    <row r="8" spans="1:9" ht="79.8" customHeight="1">
      <c r="A8" s="11" t="s">
        <v>2004</v>
      </c>
      <c r="B8" s="11" t="s">
        <v>2005</v>
      </c>
      <c r="C8" s="11" t="s">
        <v>2006</v>
      </c>
      <c r="D8" s="11" t="s">
        <v>2007</v>
      </c>
      <c r="F8" s="11" t="s">
        <v>2008</v>
      </c>
      <c r="G8" s="11" t="s">
        <v>1327</v>
      </c>
      <c r="H8" s="11" t="s">
        <v>2009</v>
      </c>
      <c r="I8" s="11" t="s">
        <v>2010</v>
      </c>
    </row>
    <row r="11" spans="1:9">
      <c r="A11" s="1" t="s">
        <v>1041</v>
      </c>
      <c r="B11" s="2" t="s">
        <v>1031</v>
      </c>
      <c r="C11" s="2" t="s">
        <v>2011</v>
      </c>
      <c r="D11" s="2" t="s">
        <v>2012</v>
      </c>
      <c r="E11" s="3" t="s">
        <v>2013</v>
      </c>
    </row>
    <row r="12" spans="1:9" ht="22.8" customHeight="1">
      <c r="A12" s="10">
        <v>1</v>
      </c>
      <c r="B12" s="10" t="s">
        <v>2014</v>
      </c>
      <c r="C12" s="10" t="s">
        <v>1327</v>
      </c>
      <c r="D12" s="10" t="s">
        <v>2015</v>
      </c>
      <c r="E12" s="10" t="s">
        <v>2016</v>
      </c>
    </row>
    <row r="13" spans="1:9">
      <c r="A13" s="11">
        <v>2</v>
      </c>
      <c r="B13" s="11" t="s">
        <v>2017</v>
      </c>
      <c r="C13" s="11" t="s">
        <v>2018</v>
      </c>
      <c r="D13" s="11" t="s">
        <v>2019</v>
      </c>
      <c r="E13" s="11" t="s">
        <v>2020</v>
      </c>
    </row>
    <row r="14" spans="1:9">
      <c r="A14" s="11">
        <v>3</v>
      </c>
      <c r="B14" s="11" t="s">
        <v>2021</v>
      </c>
      <c r="C14" s="11" t="s">
        <v>612</v>
      </c>
      <c r="D14" s="11" t="s">
        <v>2022</v>
      </c>
      <c r="E14" s="11" t="s">
        <v>2023</v>
      </c>
    </row>
    <row r="15" spans="1:9" ht="22.8" customHeight="1">
      <c r="A15" s="11">
        <v>4</v>
      </c>
      <c r="B15" s="11" t="s">
        <v>2024</v>
      </c>
      <c r="C15" s="11" t="s">
        <v>1996</v>
      </c>
      <c r="D15" s="11" t="s">
        <v>2025</v>
      </c>
      <c r="E15" s="11" t="s">
        <v>2026</v>
      </c>
    </row>
    <row r="16" spans="1:9" ht="22.8" customHeight="1">
      <c r="A16" s="11">
        <v>5</v>
      </c>
      <c r="B16" s="11" t="s">
        <v>2027</v>
      </c>
      <c r="C16" s="11" t="s">
        <v>1632</v>
      </c>
      <c r="D16" s="11" t="s">
        <v>2028</v>
      </c>
      <c r="E16" s="11" t="s">
        <v>2029</v>
      </c>
    </row>
    <row r="17" spans="1:9" ht="22.8" customHeight="1">
      <c r="A17" s="11">
        <v>6</v>
      </c>
      <c r="B17" s="11" t="s">
        <v>2030</v>
      </c>
      <c r="C17" s="11" t="s">
        <v>1632</v>
      </c>
      <c r="D17" s="11" t="s">
        <v>2031</v>
      </c>
      <c r="E17" s="11" t="s">
        <v>2032</v>
      </c>
    </row>
    <row r="18" spans="1:9" ht="22.8" customHeight="1">
      <c r="A18" s="11">
        <v>7</v>
      </c>
      <c r="B18" s="11" t="s">
        <v>2033</v>
      </c>
      <c r="C18" s="11" t="s">
        <v>1632</v>
      </c>
      <c r="D18" s="11" t="s">
        <v>2034</v>
      </c>
      <c r="E18" s="11" t="s">
        <v>2035</v>
      </c>
    </row>
    <row r="19" spans="1:9" ht="22.8" customHeight="1">
      <c r="A19" s="11">
        <v>8</v>
      </c>
      <c r="B19" s="11" t="s">
        <v>2036</v>
      </c>
      <c r="C19" s="11" t="s">
        <v>1632</v>
      </c>
      <c r="D19" s="11" t="s">
        <v>2037</v>
      </c>
      <c r="E19" s="11" t="s">
        <v>2038</v>
      </c>
    </row>
    <row r="20" spans="1:9">
      <c r="A20" s="11">
        <v>9</v>
      </c>
      <c r="B20" s="11" t="s">
        <v>2039</v>
      </c>
      <c r="C20" s="11" t="s">
        <v>1632</v>
      </c>
      <c r="D20" s="11" t="s">
        <v>2040</v>
      </c>
      <c r="E20" s="11" t="s">
        <v>2041</v>
      </c>
    </row>
    <row r="21" spans="1:9" ht="22.8" customHeight="1">
      <c r="A21" s="11">
        <v>10</v>
      </c>
      <c r="B21" s="11" t="s">
        <v>2042</v>
      </c>
      <c r="C21" s="11" t="s">
        <v>1632</v>
      </c>
      <c r="D21" s="11" t="s">
        <v>2043</v>
      </c>
      <c r="E21" s="11" t="s">
        <v>2044</v>
      </c>
    </row>
    <row r="22" spans="1:9" ht="22.8" customHeight="1">
      <c r="A22" s="11">
        <v>11</v>
      </c>
      <c r="B22" s="11" t="s">
        <v>2045</v>
      </c>
      <c r="C22" s="11" t="s">
        <v>1632</v>
      </c>
      <c r="D22" s="11" t="s">
        <v>2046</v>
      </c>
      <c r="E22" s="11" t="s">
        <v>2047</v>
      </c>
    </row>
    <row r="23" spans="1:9">
      <c r="A23" s="11">
        <v>12</v>
      </c>
      <c r="B23" s="11" t="s">
        <v>2048</v>
      </c>
      <c r="C23" s="11" t="s">
        <v>1632</v>
      </c>
      <c r="D23" s="11" t="s">
        <v>2049</v>
      </c>
      <c r="E23" s="11" t="s">
        <v>2050</v>
      </c>
    </row>
    <row r="24" spans="1:9" ht="22.8" customHeight="1">
      <c r="A24" s="11">
        <v>13</v>
      </c>
      <c r="B24" s="11" t="s">
        <v>2051</v>
      </c>
      <c r="C24" s="11" t="s">
        <v>1632</v>
      </c>
      <c r="D24" s="11" t="s">
        <v>2052</v>
      </c>
      <c r="E24" s="11" t="s">
        <v>2053</v>
      </c>
    </row>
    <row r="25" spans="1:9">
      <c r="A25" s="11">
        <v>14</v>
      </c>
      <c r="B25" s="11" t="s">
        <v>2054</v>
      </c>
      <c r="C25" s="11" t="s">
        <v>1632</v>
      </c>
      <c r="D25" s="11" t="s">
        <v>2055</v>
      </c>
      <c r="E25" s="11" t="s">
        <v>2056</v>
      </c>
    </row>
    <row r="26" spans="1:9">
      <c r="A26" s="11">
        <v>15</v>
      </c>
      <c r="B26" s="11" t="s">
        <v>2057</v>
      </c>
      <c r="C26" s="11" t="s">
        <v>1632</v>
      </c>
      <c r="D26" s="11" t="s">
        <v>2058</v>
      </c>
      <c r="E26" s="11" t="s">
        <v>2059</v>
      </c>
    </row>
    <row r="27" spans="1:9" ht="22.8" customHeight="1">
      <c r="A27" s="11">
        <v>16</v>
      </c>
      <c r="B27" s="11" t="s">
        <v>2060</v>
      </c>
      <c r="C27" s="11" t="s">
        <v>1327</v>
      </c>
      <c r="D27" s="11" t="s">
        <v>2061</v>
      </c>
      <c r="E27" s="11" t="s">
        <v>2062</v>
      </c>
    </row>
    <row r="29" spans="1:9">
      <c r="A29" s="60" t="s">
        <v>2063</v>
      </c>
      <c r="B29" s="70"/>
      <c r="C29" s="70"/>
      <c r="D29" s="70"/>
      <c r="E29" s="70"/>
      <c r="F29" s="70"/>
      <c r="G29" s="70"/>
      <c r="H29" s="70"/>
      <c r="I29" s="71"/>
    </row>
  </sheetData>
  <mergeCells count="4">
    <mergeCell ref="A1:I1"/>
    <mergeCell ref="A4:I4"/>
    <mergeCell ref="A2:I2"/>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7" t="s">
        <v>2064</v>
      </c>
      <c r="B1" s="58"/>
      <c r="C1" s="58"/>
      <c r="D1" s="58"/>
      <c r="E1" s="58"/>
      <c r="F1" s="58"/>
      <c r="G1" s="58"/>
    </row>
    <row r="2" spans="1:7" ht="31.95" customHeight="1">
      <c r="A2" s="59" t="s">
        <v>2065</v>
      </c>
      <c r="B2" s="58"/>
      <c r="C2" s="58"/>
      <c r="D2" s="58"/>
      <c r="E2" s="58"/>
      <c r="F2" s="58"/>
      <c r="G2" s="58"/>
    </row>
    <row r="5" spans="1:7" ht="28.05" customHeight="1">
      <c r="A5" s="1" t="s">
        <v>1900</v>
      </c>
      <c r="B5" s="2" t="s">
        <v>2066</v>
      </c>
      <c r="C5" s="2" t="s">
        <v>5</v>
      </c>
      <c r="D5" s="2" t="s">
        <v>2067</v>
      </c>
      <c r="E5" s="2" t="s">
        <v>2068</v>
      </c>
      <c r="F5" s="2" t="s">
        <v>2069</v>
      </c>
      <c r="G5" s="3" t="s">
        <v>2070</v>
      </c>
    </row>
    <row r="6" spans="1:7">
      <c r="A6" s="10" t="s">
        <v>2071</v>
      </c>
      <c r="B6" s="10" t="s">
        <v>2072</v>
      </c>
      <c r="C6" s="10" t="s">
        <v>2073</v>
      </c>
      <c r="D6" s="10" t="s">
        <v>1563</v>
      </c>
      <c r="E6" s="10" t="s">
        <v>2074</v>
      </c>
      <c r="F6" s="10" t="s">
        <v>2075</v>
      </c>
      <c r="G6" s="10" t="s">
        <v>2076</v>
      </c>
    </row>
    <row r="7" spans="1:7">
      <c r="A7" s="11" t="s">
        <v>2071</v>
      </c>
      <c r="B7" s="11" t="s">
        <v>2077</v>
      </c>
      <c r="C7" s="11" t="s">
        <v>2073</v>
      </c>
      <c r="D7" s="11" t="s">
        <v>2078</v>
      </c>
      <c r="E7" s="11" t="s">
        <v>2079</v>
      </c>
      <c r="F7" s="11" t="s">
        <v>2080</v>
      </c>
      <c r="G7" s="11" t="s">
        <v>2081</v>
      </c>
    </row>
    <row r="8" spans="1:7">
      <c r="A8" s="11" t="s">
        <v>2071</v>
      </c>
      <c r="B8" s="11" t="s">
        <v>2082</v>
      </c>
      <c r="C8" s="11" t="s">
        <v>2073</v>
      </c>
      <c r="D8" s="11" t="s">
        <v>2078</v>
      </c>
      <c r="E8" s="11" t="s">
        <v>2083</v>
      </c>
      <c r="F8" s="11" t="s">
        <v>2084</v>
      </c>
      <c r="G8" s="11" t="s">
        <v>2085</v>
      </c>
    </row>
    <row r="9" spans="1:7">
      <c r="A9" s="11" t="s">
        <v>2071</v>
      </c>
      <c r="B9" s="11" t="s">
        <v>2086</v>
      </c>
      <c r="C9" s="11" t="s">
        <v>2073</v>
      </c>
      <c r="D9" s="11" t="s">
        <v>2078</v>
      </c>
      <c r="E9" s="11" t="s">
        <v>2087</v>
      </c>
      <c r="F9" s="11" t="s">
        <v>2088</v>
      </c>
      <c r="G9" s="11" t="s">
        <v>2089</v>
      </c>
    </row>
    <row r="10" spans="1:7">
      <c r="A10" s="11" t="s">
        <v>2071</v>
      </c>
      <c r="B10" s="11" t="s">
        <v>2090</v>
      </c>
      <c r="C10" s="11" t="s">
        <v>2073</v>
      </c>
      <c r="D10" s="11" t="s">
        <v>2078</v>
      </c>
      <c r="E10" s="11" t="s">
        <v>2091</v>
      </c>
      <c r="F10" s="11" t="s">
        <v>2092</v>
      </c>
      <c r="G10" s="11" t="s">
        <v>2093</v>
      </c>
    </row>
    <row r="11" spans="1:7">
      <c r="A11" s="11" t="s">
        <v>2094</v>
      </c>
      <c r="B11" s="11" t="s">
        <v>2095</v>
      </c>
      <c r="C11" s="11" t="s">
        <v>25</v>
      </c>
      <c r="D11" s="11" t="s">
        <v>2096</v>
      </c>
      <c r="E11" s="11" t="s">
        <v>2097</v>
      </c>
      <c r="F11" s="11" t="s">
        <v>2098</v>
      </c>
      <c r="G11" s="11" t="s">
        <v>2099</v>
      </c>
    </row>
    <row r="12" spans="1:7">
      <c r="A12" s="11" t="s">
        <v>2094</v>
      </c>
      <c r="B12" s="11" t="s">
        <v>2100</v>
      </c>
      <c r="C12" s="11" t="s">
        <v>25</v>
      </c>
      <c r="D12" s="11" t="s">
        <v>499</v>
      </c>
      <c r="E12" s="11" t="s">
        <v>2101</v>
      </c>
      <c r="F12" s="11" t="s">
        <v>2102</v>
      </c>
      <c r="G12" s="11" t="s">
        <v>2103</v>
      </c>
    </row>
    <row r="13" spans="1:7">
      <c r="A13" s="11" t="s">
        <v>2104</v>
      </c>
      <c r="B13" s="11" t="s">
        <v>2105</v>
      </c>
      <c r="C13" s="11" t="s">
        <v>2073</v>
      </c>
      <c r="D13" s="11" t="s">
        <v>1563</v>
      </c>
      <c r="E13" s="11" t="s">
        <v>2106</v>
      </c>
      <c r="F13" s="11" t="s">
        <v>2107</v>
      </c>
      <c r="G13" s="11" t="s">
        <v>2108</v>
      </c>
    </row>
    <row r="14" spans="1:7">
      <c r="A14" s="11" t="s">
        <v>2104</v>
      </c>
      <c r="B14" s="11" t="s">
        <v>2109</v>
      </c>
      <c r="C14" s="11" t="s">
        <v>2073</v>
      </c>
      <c r="D14" s="11" t="s">
        <v>1563</v>
      </c>
      <c r="E14" s="11" t="s">
        <v>2110</v>
      </c>
      <c r="F14" s="11" t="s">
        <v>2111</v>
      </c>
      <c r="G14" s="11" t="s">
        <v>2112</v>
      </c>
    </row>
    <row r="15" spans="1:7">
      <c r="A15" s="11" t="s">
        <v>2104</v>
      </c>
      <c r="B15" s="11" t="s">
        <v>2113</v>
      </c>
      <c r="C15" s="11" t="s">
        <v>2073</v>
      </c>
      <c r="D15" s="11" t="s">
        <v>2114</v>
      </c>
      <c r="E15" s="11" t="s">
        <v>2115</v>
      </c>
      <c r="F15" s="11" t="s">
        <v>2116</v>
      </c>
      <c r="G15" s="11" t="s">
        <v>2117</v>
      </c>
    </row>
    <row r="16" spans="1:7">
      <c r="A16" s="11" t="s">
        <v>2104</v>
      </c>
      <c r="B16" s="11" t="s">
        <v>2118</v>
      </c>
      <c r="C16" s="11" t="s">
        <v>2073</v>
      </c>
      <c r="D16" s="11" t="s">
        <v>2119</v>
      </c>
      <c r="E16" s="11" t="s">
        <v>2120</v>
      </c>
      <c r="F16" s="11" t="s">
        <v>2121</v>
      </c>
      <c r="G16" s="11" t="s">
        <v>2122</v>
      </c>
    </row>
    <row r="17" spans="1:7">
      <c r="A17" s="11" t="s">
        <v>2123</v>
      </c>
      <c r="B17" s="11" t="s">
        <v>2124</v>
      </c>
      <c r="C17" s="11" t="s">
        <v>2073</v>
      </c>
      <c r="D17" s="11" t="s">
        <v>2125</v>
      </c>
      <c r="E17" s="11" t="s">
        <v>2126</v>
      </c>
      <c r="F17" s="11" t="s">
        <v>2127</v>
      </c>
      <c r="G17" s="11" t="s">
        <v>2128</v>
      </c>
    </row>
    <row r="18" spans="1:7" ht="22.8" customHeight="1">
      <c r="A18" s="11" t="s">
        <v>396</v>
      </c>
      <c r="B18" s="11" t="s">
        <v>2129</v>
      </c>
      <c r="C18" s="11" t="s">
        <v>25</v>
      </c>
      <c r="D18" s="11" t="s">
        <v>347</v>
      </c>
      <c r="E18" s="11" t="s">
        <v>2130</v>
      </c>
      <c r="F18" s="11" t="s">
        <v>2131</v>
      </c>
      <c r="G18" s="11" t="s">
        <v>2132</v>
      </c>
    </row>
    <row r="19" spans="1:7">
      <c r="A19" s="11" t="s">
        <v>396</v>
      </c>
      <c r="B19" s="11" t="s">
        <v>2133</v>
      </c>
      <c r="C19" s="11" t="s">
        <v>314</v>
      </c>
      <c r="D19" s="11" t="s">
        <v>1563</v>
      </c>
      <c r="E19" s="11" t="s">
        <v>2134</v>
      </c>
      <c r="F19" s="11" t="s">
        <v>2135</v>
      </c>
      <c r="G19" s="11" t="s">
        <v>2136</v>
      </c>
    </row>
    <row r="20" spans="1:7">
      <c r="A20" s="11" t="s">
        <v>1676</v>
      </c>
      <c r="B20" s="11" t="s">
        <v>2137</v>
      </c>
      <c r="C20" s="11" t="s">
        <v>25</v>
      </c>
      <c r="D20" s="11" t="s">
        <v>347</v>
      </c>
      <c r="E20" s="11" t="s">
        <v>2138</v>
      </c>
      <c r="F20" s="11" t="s">
        <v>2139</v>
      </c>
      <c r="G20" s="11" t="s">
        <v>2140</v>
      </c>
    </row>
    <row r="21" spans="1:7">
      <c r="A21" s="11" t="s">
        <v>1676</v>
      </c>
      <c r="B21" s="11" t="s">
        <v>2141</v>
      </c>
      <c r="C21" s="11" t="s">
        <v>25</v>
      </c>
      <c r="D21" s="11" t="s">
        <v>347</v>
      </c>
      <c r="E21" s="11" t="s">
        <v>2142</v>
      </c>
      <c r="F21" s="11" t="s">
        <v>2143</v>
      </c>
      <c r="G21" s="11" t="s">
        <v>2144</v>
      </c>
    </row>
    <row r="22" spans="1:7">
      <c r="A22" s="11" t="s">
        <v>1676</v>
      </c>
      <c r="B22" s="11" t="s">
        <v>2145</v>
      </c>
      <c r="C22" s="11" t="s">
        <v>314</v>
      </c>
      <c r="D22" s="11" t="s">
        <v>1563</v>
      </c>
      <c r="E22" s="11" t="s">
        <v>2146</v>
      </c>
      <c r="F22" s="11" t="s">
        <v>2147</v>
      </c>
      <c r="G22" s="11" t="s">
        <v>2148</v>
      </c>
    </row>
    <row r="23" spans="1:7">
      <c r="A23" s="11" t="s">
        <v>2149</v>
      </c>
      <c r="B23" s="11" t="s">
        <v>2150</v>
      </c>
      <c r="C23" s="11" t="s">
        <v>25</v>
      </c>
      <c r="D23" s="11" t="s">
        <v>499</v>
      </c>
      <c r="E23" s="11" t="s">
        <v>2151</v>
      </c>
      <c r="F23" s="11" t="s">
        <v>2152</v>
      </c>
      <c r="G23" s="11" t="s">
        <v>2153</v>
      </c>
    </row>
    <row r="24" spans="1:7">
      <c r="A24" s="11" t="s">
        <v>2149</v>
      </c>
      <c r="B24" s="11" t="s">
        <v>2154</v>
      </c>
      <c r="C24" s="11" t="s">
        <v>2073</v>
      </c>
      <c r="D24" s="11" t="s">
        <v>2155</v>
      </c>
      <c r="E24" s="11" t="s">
        <v>2156</v>
      </c>
      <c r="F24" s="11" t="s">
        <v>2157</v>
      </c>
      <c r="G24" s="11" t="s">
        <v>2158</v>
      </c>
    </row>
    <row r="25" spans="1:7">
      <c r="A25" s="11" t="s">
        <v>2149</v>
      </c>
      <c r="B25" s="11" t="s">
        <v>2159</v>
      </c>
      <c r="C25" s="11" t="s">
        <v>2073</v>
      </c>
      <c r="D25" s="11" t="s">
        <v>2155</v>
      </c>
      <c r="E25" s="11" t="s">
        <v>2160</v>
      </c>
      <c r="F25" s="11" t="s">
        <v>2161</v>
      </c>
      <c r="G25" s="11" t="s">
        <v>2162</v>
      </c>
    </row>
    <row r="26" spans="1:7">
      <c r="A26" s="11" t="s">
        <v>2149</v>
      </c>
      <c r="B26" s="11" t="s">
        <v>2163</v>
      </c>
      <c r="C26" s="11" t="s">
        <v>2073</v>
      </c>
      <c r="D26" s="11" t="s">
        <v>2078</v>
      </c>
      <c r="E26" s="11" t="s">
        <v>2164</v>
      </c>
      <c r="F26" s="11" t="s">
        <v>2165</v>
      </c>
      <c r="G26" s="11" t="s">
        <v>2166</v>
      </c>
    </row>
    <row r="27" spans="1:7">
      <c r="A27" s="11" t="s">
        <v>2167</v>
      </c>
      <c r="B27" s="11" t="s">
        <v>2168</v>
      </c>
      <c r="C27" s="11" t="s">
        <v>25</v>
      </c>
      <c r="D27" s="11" t="s">
        <v>1299</v>
      </c>
      <c r="E27" s="11" t="s">
        <v>2169</v>
      </c>
      <c r="F27" s="11" t="s">
        <v>2139</v>
      </c>
      <c r="G27" s="11" t="s">
        <v>2170</v>
      </c>
    </row>
    <row r="28" spans="1:7">
      <c r="A28" s="11" t="s">
        <v>2167</v>
      </c>
      <c r="B28" s="11" t="s">
        <v>2171</v>
      </c>
      <c r="C28" s="11" t="s">
        <v>2073</v>
      </c>
      <c r="D28" s="11" t="s">
        <v>2172</v>
      </c>
      <c r="E28" s="11" t="s">
        <v>2173</v>
      </c>
      <c r="F28" s="11" t="s">
        <v>2174</v>
      </c>
      <c r="G28" s="11" t="s">
        <v>2175</v>
      </c>
    </row>
    <row r="29" spans="1:7">
      <c r="A29" s="11" t="s">
        <v>2176</v>
      </c>
      <c r="B29" s="11" t="s">
        <v>2177</v>
      </c>
      <c r="C29" s="11" t="s">
        <v>314</v>
      </c>
      <c r="D29" s="11" t="s">
        <v>2178</v>
      </c>
      <c r="E29" s="11" t="s">
        <v>2179</v>
      </c>
      <c r="F29" s="11" t="s">
        <v>2180</v>
      </c>
      <c r="G29" s="11" t="s">
        <v>2181</v>
      </c>
    </row>
    <row r="30" spans="1:7">
      <c r="A30" s="11" t="s">
        <v>2176</v>
      </c>
      <c r="B30" s="11" t="s">
        <v>2182</v>
      </c>
      <c r="C30" s="11" t="s">
        <v>2073</v>
      </c>
      <c r="D30" s="11" t="s">
        <v>2178</v>
      </c>
      <c r="E30" s="11" t="s">
        <v>2183</v>
      </c>
      <c r="F30" s="11" t="s">
        <v>2184</v>
      </c>
      <c r="G30" s="11" t="s">
        <v>2185</v>
      </c>
    </row>
    <row r="31" spans="1:7">
      <c r="A31" s="11" t="s">
        <v>2186</v>
      </c>
      <c r="B31" s="11" t="s">
        <v>2187</v>
      </c>
      <c r="C31" s="11" t="s">
        <v>2073</v>
      </c>
      <c r="D31" s="11" t="s">
        <v>2188</v>
      </c>
      <c r="E31" s="11" t="s">
        <v>2189</v>
      </c>
      <c r="F31" s="11" t="s">
        <v>2190</v>
      </c>
      <c r="G31" s="11" t="s">
        <v>2191</v>
      </c>
    </row>
    <row r="32" spans="1:7">
      <c r="A32" s="11" t="s">
        <v>241</v>
      </c>
      <c r="B32" s="11" t="s">
        <v>2192</v>
      </c>
      <c r="C32" s="11" t="s">
        <v>25</v>
      </c>
      <c r="D32" s="11" t="s">
        <v>195</v>
      </c>
      <c r="E32" s="11" t="s">
        <v>2193</v>
      </c>
      <c r="F32" s="11" t="s">
        <v>2194</v>
      </c>
      <c r="G32" s="11" t="s">
        <v>2195</v>
      </c>
    </row>
    <row r="33" spans="1:7">
      <c r="A33" s="11" t="s">
        <v>241</v>
      </c>
      <c r="B33" s="11" t="s">
        <v>2196</v>
      </c>
      <c r="C33" s="11" t="s">
        <v>2073</v>
      </c>
      <c r="D33" s="11" t="s">
        <v>2114</v>
      </c>
      <c r="E33" s="11" t="s">
        <v>2197</v>
      </c>
      <c r="F33" s="11" t="s">
        <v>2198</v>
      </c>
      <c r="G33" s="11" t="s">
        <v>2199</v>
      </c>
    </row>
    <row r="34" spans="1:7">
      <c r="A34" s="11" t="s">
        <v>2200</v>
      </c>
      <c r="B34" s="11" t="s">
        <v>1225</v>
      </c>
      <c r="C34" s="11" t="s">
        <v>25</v>
      </c>
      <c r="D34" s="11" t="s">
        <v>195</v>
      </c>
      <c r="E34" s="11" t="s">
        <v>2201</v>
      </c>
      <c r="F34" s="11" t="s">
        <v>2202</v>
      </c>
      <c r="G34" s="11" t="s">
        <v>2203</v>
      </c>
    </row>
    <row r="35" spans="1:7" ht="22.8" customHeight="1">
      <c r="A35" s="11" t="s">
        <v>2200</v>
      </c>
      <c r="B35" s="11" t="s">
        <v>1230</v>
      </c>
      <c r="C35" s="11" t="s">
        <v>2204</v>
      </c>
      <c r="D35" s="11" t="s">
        <v>645</v>
      </c>
      <c r="E35" s="11" t="s">
        <v>2205</v>
      </c>
      <c r="F35" s="11" t="s">
        <v>2206</v>
      </c>
      <c r="G35" s="11" t="s">
        <v>2207</v>
      </c>
    </row>
    <row r="36" spans="1:7">
      <c r="A36" s="11" t="s">
        <v>2200</v>
      </c>
      <c r="B36" s="11" t="s">
        <v>2208</v>
      </c>
      <c r="C36" s="11" t="s">
        <v>2073</v>
      </c>
      <c r="D36" s="11" t="s">
        <v>2209</v>
      </c>
      <c r="E36" s="11" t="s">
        <v>2210</v>
      </c>
      <c r="F36" s="11" t="s">
        <v>2211</v>
      </c>
      <c r="G36" s="11" t="s">
        <v>2212</v>
      </c>
    </row>
    <row r="37" spans="1:7">
      <c r="A37" s="11" t="s">
        <v>2200</v>
      </c>
      <c r="B37" s="11" t="s">
        <v>2213</v>
      </c>
      <c r="C37" s="11" t="s">
        <v>2073</v>
      </c>
      <c r="D37" s="11" t="s">
        <v>2214</v>
      </c>
      <c r="E37" s="11" t="s">
        <v>2215</v>
      </c>
      <c r="F37" s="11" t="s">
        <v>2211</v>
      </c>
      <c r="G37" s="11" t="s">
        <v>2216</v>
      </c>
    </row>
    <row r="38" spans="1:7">
      <c r="A38" s="11" t="s">
        <v>2200</v>
      </c>
      <c r="B38" s="11" t="s">
        <v>2217</v>
      </c>
      <c r="C38" s="11" t="s">
        <v>2073</v>
      </c>
      <c r="D38" s="11" t="s">
        <v>2218</v>
      </c>
      <c r="E38" s="11" t="s">
        <v>2219</v>
      </c>
      <c r="F38" s="11" t="s">
        <v>2220</v>
      </c>
      <c r="G38" s="11" t="s">
        <v>2221</v>
      </c>
    </row>
    <row r="39" spans="1:7">
      <c r="A39" s="11" t="s">
        <v>2200</v>
      </c>
      <c r="B39" s="11" t="s">
        <v>2222</v>
      </c>
      <c r="C39" s="11" t="s">
        <v>2073</v>
      </c>
      <c r="D39" s="11" t="s">
        <v>2223</v>
      </c>
      <c r="E39" s="11" t="s">
        <v>2224</v>
      </c>
      <c r="F39" s="11" t="s">
        <v>2220</v>
      </c>
      <c r="G39" s="11" t="s">
        <v>2225</v>
      </c>
    </row>
    <row r="40" spans="1:7">
      <c r="A40" s="11" t="s">
        <v>2200</v>
      </c>
      <c r="B40" s="11" t="s">
        <v>2226</v>
      </c>
      <c r="C40" s="11" t="s">
        <v>2073</v>
      </c>
      <c r="D40" s="11" t="s">
        <v>2227</v>
      </c>
      <c r="E40" s="11" t="s">
        <v>2228</v>
      </c>
      <c r="F40" s="11" t="s">
        <v>2220</v>
      </c>
      <c r="G40" s="11" t="s">
        <v>2229</v>
      </c>
    </row>
    <row r="41" spans="1:7">
      <c r="A41" s="11" t="s">
        <v>2230</v>
      </c>
      <c r="B41" s="11" t="s">
        <v>2231</v>
      </c>
      <c r="C41" s="11" t="s">
        <v>314</v>
      </c>
      <c r="D41" s="11" t="s">
        <v>2232</v>
      </c>
      <c r="E41" s="11" t="s">
        <v>2233</v>
      </c>
      <c r="F41" s="11" t="s">
        <v>2234</v>
      </c>
      <c r="G41" s="11" t="s">
        <v>2235</v>
      </c>
    </row>
    <row r="42" spans="1:7">
      <c r="A42" s="11" t="s">
        <v>2230</v>
      </c>
      <c r="B42" s="11" t="s">
        <v>2236</v>
      </c>
      <c r="C42" s="11" t="s">
        <v>2073</v>
      </c>
      <c r="D42" s="11" t="s">
        <v>2237</v>
      </c>
      <c r="E42" s="11" t="s">
        <v>2238</v>
      </c>
      <c r="F42" s="11" t="s">
        <v>2239</v>
      </c>
      <c r="G42" s="11" t="s">
        <v>2240</v>
      </c>
    </row>
    <row r="43" spans="1:7">
      <c r="A43" s="11" t="s">
        <v>2230</v>
      </c>
      <c r="B43" s="11" t="s">
        <v>2241</v>
      </c>
      <c r="C43" s="11" t="s">
        <v>2073</v>
      </c>
      <c r="D43" s="11" t="s">
        <v>2242</v>
      </c>
      <c r="E43" s="11" t="s">
        <v>2243</v>
      </c>
      <c r="F43" s="11" t="s">
        <v>2244</v>
      </c>
      <c r="G43" s="11" t="s">
        <v>2245</v>
      </c>
    </row>
    <row r="44" spans="1:7">
      <c r="A44" s="11" t="s">
        <v>2246</v>
      </c>
      <c r="B44" s="11" t="s">
        <v>2247</v>
      </c>
      <c r="C44" s="11" t="s">
        <v>314</v>
      </c>
      <c r="D44" s="11" t="s">
        <v>2232</v>
      </c>
      <c r="E44" s="11" t="s">
        <v>2248</v>
      </c>
      <c r="F44" s="11" t="s">
        <v>2249</v>
      </c>
      <c r="G44" s="11" t="s">
        <v>2250</v>
      </c>
    </row>
    <row r="45" spans="1:7">
      <c r="A45" s="11" t="s">
        <v>2246</v>
      </c>
      <c r="B45" s="11" t="s">
        <v>2251</v>
      </c>
      <c r="C45" s="11" t="s">
        <v>2073</v>
      </c>
      <c r="D45" s="11" t="s">
        <v>2242</v>
      </c>
      <c r="E45" s="11" t="s">
        <v>2252</v>
      </c>
      <c r="F45" s="11" t="s">
        <v>2253</v>
      </c>
      <c r="G45" s="11" t="s">
        <v>2254</v>
      </c>
    </row>
    <row r="46" spans="1:7">
      <c r="A46" s="11" t="s">
        <v>2246</v>
      </c>
      <c r="B46" s="11" t="s">
        <v>2255</v>
      </c>
      <c r="C46" s="11" t="s">
        <v>2073</v>
      </c>
      <c r="D46" s="11" t="s">
        <v>2242</v>
      </c>
      <c r="E46" s="11" t="s">
        <v>2256</v>
      </c>
      <c r="F46" s="11" t="s">
        <v>2257</v>
      </c>
      <c r="G46" s="11" t="s">
        <v>2258</v>
      </c>
    </row>
    <row r="47" spans="1:7">
      <c r="A47" s="11" t="s">
        <v>2259</v>
      </c>
      <c r="B47" s="11" t="s">
        <v>2260</v>
      </c>
      <c r="C47" s="11" t="s">
        <v>314</v>
      </c>
      <c r="D47" s="11" t="s">
        <v>2232</v>
      </c>
      <c r="E47" s="11" t="s">
        <v>2261</v>
      </c>
      <c r="F47" s="11" t="s">
        <v>2262</v>
      </c>
      <c r="G47" s="11" t="s">
        <v>2263</v>
      </c>
    </row>
    <row r="48" spans="1:7">
      <c r="A48" s="11" t="s">
        <v>2259</v>
      </c>
      <c r="B48" s="11" t="s">
        <v>2264</v>
      </c>
      <c r="C48" s="11" t="s">
        <v>2073</v>
      </c>
      <c r="D48" s="11" t="s">
        <v>2265</v>
      </c>
      <c r="E48" s="11" t="s">
        <v>2266</v>
      </c>
      <c r="F48" s="11" t="s">
        <v>2267</v>
      </c>
      <c r="G48" s="11" t="s">
        <v>2268</v>
      </c>
    </row>
    <row r="49" spans="1:7">
      <c r="A49" s="11" t="s">
        <v>43</v>
      </c>
      <c r="B49" s="11" t="s">
        <v>2269</v>
      </c>
      <c r="C49" s="11" t="s">
        <v>25</v>
      </c>
      <c r="D49" s="11" t="s">
        <v>195</v>
      </c>
      <c r="E49" s="11" t="s">
        <v>2270</v>
      </c>
      <c r="F49" s="11" t="s">
        <v>2271</v>
      </c>
      <c r="G49" s="11" t="s">
        <v>2272</v>
      </c>
    </row>
    <row r="50" spans="1:7">
      <c r="A50" s="11" t="s">
        <v>43</v>
      </c>
      <c r="B50" s="11" t="s">
        <v>2273</v>
      </c>
      <c r="C50" s="11" t="s">
        <v>314</v>
      </c>
      <c r="D50" s="11" t="s">
        <v>2232</v>
      </c>
      <c r="E50" s="11" t="s">
        <v>2274</v>
      </c>
      <c r="F50" s="11" t="s">
        <v>2275</v>
      </c>
      <c r="G50" s="11" t="s">
        <v>2276</v>
      </c>
    </row>
    <row r="51" spans="1:7">
      <c r="A51" s="11" t="s">
        <v>2277</v>
      </c>
      <c r="B51" s="11" t="s">
        <v>1275</v>
      </c>
      <c r="C51" s="11" t="s">
        <v>2278</v>
      </c>
      <c r="D51" s="11" t="s">
        <v>812</v>
      </c>
      <c r="E51" s="11" t="s">
        <v>2279</v>
      </c>
      <c r="F51" s="11" t="s">
        <v>2280</v>
      </c>
      <c r="G51" s="11" t="s">
        <v>2281</v>
      </c>
    </row>
    <row r="52" spans="1:7">
      <c r="A52" s="11" t="s">
        <v>2277</v>
      </c>
      <c r="B52" s="11" t="s">
        <v>2282</v>
      </c>
      <c r="C52" s="11" t="s">
        <v>2283</v>
      </c>
      <c r="D52" s="11" t="s">
        <v>2284</v>
      </c>
      <c r="E52" s="11" t="s">
        <v>2285</v>
      </c>
      <c r="F52" s="11" t="s">
        <v>2286</v>
      </c>
      <c r="G52" s="11" t="s">
        <v>2287</v>
      </c>
    </row>
    <row r="53" spans="1:7">
      <c r="A53" s="11" t="s">
        <v>2288</v>
      </c>
      <c r="B53" s="11" t="s">
        <v>2289</v>
      </c>
      <c r="C53" s="11" t="s">
        <v>25</v>
      </c>
      <c r="D53" s="11" t="s">
        <v>347</v>
      </c>
      <c r="E53" s="11" t="s">
        <v>2290</v>
      </c>
      <c r="F53" s="11" t="s">
        <v>2291</v>
      </c>
      <c r="G53" s="11" t="s">
        <v>2292</v>
      </c>
    </row>
    <row r="54" spans="1:7">
      <c r="A54" s="11" t="s">
        <v>2293</v>
      </c>
      <c r="B54" s="11" t="s">
        <v>2294</v>
      </c>
      <c r="C54" s="11" t="s">
        <v>25</v>
      </c>
      <c r="D54" s="11" t="s">
        <v>1284</v>
      </c>
      <c r="E54" s="11" t="s">
        <v>2295</v>
      </c>
      <c r="F54" s="11" t="s">
        <v>2296</v>
      </c>
      <c r="G54" s="11" t="s">
        <v>2297</v>
      </c>
    </row>
    <row r="55" spans="1:7">
      <c r="A55" s="11" t="s">
        <v>2298</v>
      </c>
      <c r="B55" s="11" t="s">
        <v>2299</v>
      </c>
      <c r="C55" s="11" t="s">
        <v>25</v>
      </c>
      <c r="D55" s="11" t="s">
        <v>2300</v>
      </c>
      <c r="E55" s="11" t="s">
        <v>2301</v>
      </c>
      <c r="F55" s="11" t="s">
        <v>2302</v>
      </c>
      <c r="G55" s="11" t="s">
        <v>2303</v>
      </c>
    </row>
    <row r="56" spans="1:7" ht="22.8" customHeight="1">
      <c r="A56" s="11" t="s">
        <v>1932</v>
      </c>
      <c r="B56" s="11" t="s">
        <v>2304</v>
      </c>
      <c r="C56" s="11" t="s">
        <v>2305</v>
      </c>
      <c r="D56" s="11" t="s">
        <v>645</v>
      </c>
      <c r="E56" s="11" t="s">
        <v>2306</v>
      </c>
      <c r="F56" s="11" t="s">
        <v>2307</v>
      </c>
      <c r="G56" s="11" t="s">
        <v>2308</v>
      </c>
    </row>
    <row r="57" spans="1:7">
      <c r="A57" s="11" t="s">
        <v>1705</v>
      </c>
      <c r="B57" s="11" t="s">
        <v>2309</v>
      </c>
      <c r="C57" s="11" t="s">
        <v>25</v>
      </c>
      <c r="D57" s="11" t="s">
        <v>2310</v>
      </c>
      <c r="E57" s="11" t="s">
        <v>2311</v>
      </c>
      <c r="F57" s="11" t="s">
        <v>2312</v>
      </c>
      <c r="G57" s="11" t="s">
        <v>2313</v>
      </c>
    </row>
    <row r="58" spans="1:7">
      <c r="A58" s="11" t="s">
        <v>2314</v>
      </c>
      <c r="B58" s="11" t="s">
        <v>2315</v>
      </c>
      <c r="C58" s="11" t="s">
        <v>2073</v>
      </c>
      <c r="D58" s="11" t="s">
        <v>1563</v>
      </c>
      <c r="E58" s="11" t="s">
        <v>2316</v>
      </c>
      <c r="F58" s="11" t="s">
        <v>2317</v>
      </c>
      <c r="G58" s="11" t="s">
        <v>2318</v>
      </c>
    </row>
    <row r="59" spans="1:7">
      <c r="A59" s="11" t="s">
        <v>724</v>
      </c>
      <c r="B59" s="11" t="s">
        <v>2319</v>
      </c>
      <c r="C59" s="11" t="s">
        <v>25</v>
      </c>
      <c r="D59" s="11" t="s">
        <v>645</v>
      </c>
      <c r="E59" s="11" t="s">
        <v>2320</v>
      </c>
      <c r="F59" s="11" t="s">
        <v>2321</v>
      </c>
      <c r="G59" s="11" t="s">
        <v>2322</v>
      </c>
    </row>
    <row r="60" spans="1:7" ht="22.8" customHeight="1">
      <c r="A60" s="11" t="s">
        <v>2323</v>
      </c>
      <c r="B60" s="11" t="s">
        <v>2324</v>
      </c>
      <c r="C60" s="11" t="s">
        <v>25</v>
      </c>
      <c r="D60" s="11" t="s">
        <v>1312</v>
      </c>
      <c r="E60" s="11" t="s">
        <v>2325</v>
      </c>
      <c r="F60" s="11" t="s">
        <v>2326</v>
      </c>
      <c r="G60" s="11" t="s">
        <v>2327</v>
      </c>
    </row>
    <row r="61" spans="1:7">
      <c r="A61" s="11" t="s">
        <v>737</v>
      </c>
      <c r="B61" s="11" t="s">
        <v>2328</v>
      </c>
      <c r="C61" s="11" t="s">
        <v>25</v>
      </c>
      <c r="D61" s="11" t="s">
        <v>645</v>
      </c>
      <c r="E61" s="11" t="s">
        <v>2329</v>
      </c>
      <c r="F61" s="11" t="s">
        <v>2330</v>
      </c>
      <c r="G61" s="11" t="s">
        <v>2331</v>
      </c>
    </row>
    <row r="62" spans="1:7">
      <c r="A62" s="11" t="s">
        <v>2332</v>
      </c>
      <c r="B62" s="11" t="s">
        <v>2333</v>
      </c>
      <c r="C62" s="11" t="s">
        <v>25</v>
      </c>
      <c r="D62" s="11" t="s">
        <v>24</v>
      </c>
      <c r="E62" s="11" t="s">
        <v>2334</v>
      </c>
      <c r="F62" s="11" t="s">
        <v>2335</v>
      </c>
      <c r="G62" s="11" t="s">
        <v>2336</v>
      </c>
    </row>
    <row r="63" spans="1:7">
      <c r="A63" s="11" t="s">
        <v>577</v>
      </c>
      <c r="B63" s="11" t="s">
        <v>2337</v>
      </c>
      <c r="C63" s="11" t="s">
        <v>1227</v>
      </c>
      <c r="D63" s="11" t="s">
        <v>812</v>
      </c>
      <c r="E63" s="11" t="s">
        <v>2338</v>
      </c>
      <c r="F63" s="11" t="s">
        <v>2339</v>
      </c>
      <c r="G63" s="11" t="s">
        <v>2340</v>
      </c>
    </row>
    <row r="64" spans="1:7">
      <c r="A64" s="11" t="s">
        <v>577</v>
      </c>
      <c r="B64" s="11" t="s">
        <v>2341</v>
      </c>
      <c r="C64" s="11" t="s">
        <v>2305</v>
      </c>
      <c r="D64" s="11" t="s">
        <v>812</v>
      </c>
      <c r="E64" s="11" t="s">
        <v>2342</v>
      </c>
      <c r="F64" s="11" t="s">
        <v>2343</v>
      </c>
      <c r="G64" s="11" t="s">
        <v>2344</v>
      </c>
    </row>
    <row r="65" spans="1:7">
      <c r="A65" s="11" t="s">
        <v>577</v>
      </c>
      <c r="B65" s="11" t="s">
        <v>2345</v>
      </c>
      <c r="C65" s="11" t="s">
        <v>2073</v>
      </c>
      <c r="D65" s="11" t="s">
        <v>2172</v>
      </c>
      <c r="E65" s="11" t="s">
        <v>2346</v>
      </c>
      <c r="F65" s="11" t="s">
        <v>2347</v>
      </c>
      <c r="G65" s="11" t="s">
        <v>2348</v>
      </c>
    </row>
    <row r="66" spans="1:7">
      <c r="A66" s="11" t="s">
        <v>1743</v>
      </c>
      <c r="B66" s="11" t="s">
        <v>2349</v>
      </c>
      <c r="C66" s="11" t="s">
        <v>2350</v>
      </c>
      <c r="D66" s="11" t="s">
        <v>812</v>
      </c>
      <c r="E66" s="11" t="s">
        <v>2351</v>
      </c>
      <c r="F66" s="11" t="s">
        <v>2352</v>
      </c>
      <c r="G66" s="11" t="s">
        <v>2353</v>
      </c>
    </row>
    <row r="67" spans="1:7">
      <c r="A67" s="11" t="s">
        <v>2354</v>
      </c>
      <c r="B67" s="11" t="s">
        <v>2355</v>
      </c>
      <c r="C67" s="11" t="s">
        <v>314</v>
      </c>
      <c r="D67" s="11" t="s">
        <v>2356</v>
      </c>
      <c r="E67" s="11" t="s">
        <v>2357</v>
      </c>
      <c r="F67" s="11" t="s">
        <v>2358</v>
      </c>
      <c r="G67" s="11" t="s">
        <v>2359</v>
      </c>
    </row>
    <row r="68" spans="1:7">
      <c r="A68" s="11" t="s">
        <v>2360</v>
      </c>
      <c r="B68" s="11" t="s">
        <v>2361</v>
      </c>
      <c r="C68" s="11" t="s">
        <v>2362</v>
      </c>
      <c r="D68" s="11" t="s">
        <v>2363</v>
      </c>
      <c r="E68" s="11" t="s">
        <v>2364</v>
      </c>
      <c r="F68" s="11" t="s">
        <v>2365</v>
      </c>
      <c r="G68" s="11" t="s">
        <v>2366</v>
      </c>
    </row>
    <row r="69" spans="1:7">
      <c r="A69" s="11" t="s">
        <v>737</v>
      </c>
      <c r="B69" s="11" t="s">
        <v>2367</v>
      </c>
      <c r="C69" s="11" t="s">
        <v>2073</v>
      </c>
      <c r="D69" s="11" t="s">
        <v>2368</v>
      </c>
      <c r="E69" s="11" t="s">
        <v>2369</v>
      </c>
      <c r="F69" s="11" t="s">
        <v>2370</v>
      </c>
      <c r="G69" s="11" t="s">
        <v>2371</v>
      </c>
    </row>
  </sheetData>
  <mergeCells count="2">
    <mergeCell ref="A2:G2"/>
    <mergeCell ref="A1:G1"/>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7" t="s">
        <v>2372</v>
      </c>
      <c r="B1" s="58"/>
      <c r="C1" s="58"/>
      <c r="D1" s="58"/>
      <c r="E1" s="58"/>
      <c r="F1" s="58"/>
      <c r="G1" s="58"/>
      <c r="H1" s="58"/>
    </row>
    <row r="2" spans="1:8" ht="31.95" customHeight="1">
      <c r="A2" s="59" t="s">
        <v>2373</v>
      </c>
      <c r="B2" s="58"/>
      <c r="C2" s="58"/>
      <c r="D2" s="58"/>
      <c r="E2" s="58"/>
      <c r="F2" s="58"/>
      <c r="G2" s="58"/>
      <c r="H2" s="58"/>
    </row>
    <row r="5" spans="1:8" ht="28.05" customHeight="1">
      <c r="A5" s="1" t="s">
        <v>2374</v>
      </c>
      <c r="B5" s="2" t="s">
        <v>26</v>
      </c>
      <c r="C5" s="2" t="s">
        <v>2375</v>
      </c>
      <c r="D5" s="2" t="s">
        <v>2376</v>
      </c>
      <c r="E5" s="2" t="s">
        <v>2377</v>
      </c>
      <c r="F5" s="2" t="s">
        <v>2378</v>
      </c>
      <c r="G5" s="2" t="s">
        <v>2379</v>
      </c>
      <c r="H5" s="3" t="s">
        <v>2380</v>
      </c>
    </row>
    <row r="6" spans="1:8">
      <c r="A6" s="10" t="s">
        <v>2381</v>
      </c>
      <c r="B6" s="10" t="s">
        <v>2382</v>
      </c>
      <c r="C6" s="10" t="s">
        <v>1949</v>
      </c>
      <c r="D6" s="10" t="s">
        <v>2383</v>
      </c>
      <c r="E6" s="10" t="s">
        <v>24</v>
      </c>
      <c r="F6" s="10" t="s">
        <v>2384</v>
      </c>
      <c r="G6" s="10" t="s">
        <v>2385</v>
      </c>
      <c r="H6" s="19"/>
    </row>
    <row r="7" spans="1:8">
      <c r="A7" s="11" t="s">
        <v>2386</v>
      </c>
      <c r="B7" s="11" t="s">
        <v>2382</v>
      </c>
      <c r="C7" s="11" t="s">
        <v>1949</v>
      </c>
      <c r="D7" s="11" t="s">
        <v>2387</v>
      </c>
      <c r="E7" s="11" t="s">
        <v>24</v>
      </c>
      <c r="F7" s="11" t="s">
        <v>2388</v>
      </c>
      <c r="G7" s="11" t="s">
        <v>2385</v>
      </c>
      <c r="H7" s="20"/>
    </row>
    <row r="8" spans="1:8">
      <c r="A8" s="11" t="s">
        <v>2389</v>
      </c>
      <c r="B8" s="11" t="s">
        <v>2390</v>
      </c>
      <c r="C8" s="11" t="s">
        <v>1949</v>
      </c>
      <c r="D8" s="11" t="s">
        <v>2391</v>
      </c>
      <c r="E8" s="11" t="s">
        <v>24</v>
      </c>
      <c r="F8" s="11" t="s">
        <v>2392</v>
      </c>
      <c r="G8" s="11" t="s">
        <v>2393</v>
      </c>
      <c r="H8" s="20"/>
    </row>
    <row r="9" spans="1:8">
      <c r="A9" s="11" t="s">
        <v>2394</v>
      </c>
      <c r="B9" s="11" t="s">
        <v>2395</v>
      </c>
      <c r="C9" s="11" t="s">
        <v>1949</v>
      </c>
      <c r="D9" s="11" t="s">
        <v>2396</v>
      </c>
      <c r="E9" s="11" t="s">
        <v>24</v>
      </c>
      <c r="F9" s="11" t="s">
        <v>2397</v>
      </c>
      <c r="G9" s="11" t="s">
        <v>2398</v>
      </c>
      <c r="H9" s="20"/>
    </row>
    <row r="10" spans="1:8">
      <c r="A10" s="11" t="s">
        <v>2399</v>
      </c>
      <c r="B10" s="11" t="s">
        <v>2382</v>
      </c>
      <c r="C10" s="11" t="s">
        <v>1949</v>
      </c>
      <c r="D10" s="11" t="s">
        <v>2400</v>
      </c>
      <c r="E10" s="11" t="s">
        <v>347</v>
      </c>
      <c r="F10" s="11" t="s">
        <v>2401</v>
      </c>
      <c r="G10" s="11" t="s">
        <v>2402</v>
      </c>
      <c r="H10" s="20"/>
    </row>
    <row r="11" spans="1:8">
      <c r="A11" s="11" t="s">
        <v>2403</v>
      </c>
      <c r="B11" s="11" t="s">
        <v>2382</v>
      </c>
      <c r="C11" s="11" t="s">
        <v>1949</v>
      </c>
      <c r="D11" s="11" t="s">
        <v>2404</v>
      </c>
      <c r="E11" s="11" t="s">
        <v>347</v>
      </c>
      <c r="F11" s="11" t="s">
        <v>2405</v>
      </c>
      <c r="G11" s="11" t="s">
        <v>2406</v>
      </c>
      <c r="H11" s="20"/>
    </row>
    <row r="12" spans="1:8">
      <c r="A12" s="11" t="s">
        <v>2407</v>
      </c>
      <c r="B12" s="11" t="s">
        <v>2382</v>
      </c>
      <c r="C12" s="11" t="s">
        <v>1949</v>
      </c>
      <c r="D12" s="11" t="s">
        <v>2408</v>
      </c>
      <c r="E12" s="11" t="s">
        <v>195</v>
      </c>
      <c r="F12" s="11" t="s">
        <v>2409</v>
      </c>
      <c r="G12" s="11" t="s">
        <v>253</v>
      </c>
      <c r="H12" s="20"/>
    </row>
    <row r="13" spans="1:8">
      <c r="A13" s="11" t="s">
        <v>1090</v>
      </c>
      <c r="B13" s="11" t="s">
        <v>2382</v>
      </c>
      <c r="C13" s="11" t="s">
        <v>1949</v>
      </c>
      <c r="D13" s="11" t="s">
        <v>2410</v>
      </c>
      <c r="E13" s="11" t="s">
        <v>195</v>
      </c>
      <c r="F13" s="11" t="s">
        <v>2411</v>
      </c>
      <c r="G13" s="11" t="s">
        <v>2412</v>
      </c>
      <c r="H13" s="20"/>
    </row>
    <row r="14" spans="1:8">
      <c r="A14" s="11" t="s">
        <v>2413</v>
      </c>
      <c r="B14" s="11" t="s">
        <v>2382</v>
      </c>
      <c r="C14" s="11" t="s">
        <v>1949</v>
      </c>
      <c r="D14" s="11" t="s">
        <v>2414</v>
      </c>
      <c r="E14" s="11" t="s">
        <v>195</v>
      </c>
      <c r="F14" s="11" t="s">
        <v>2415</v>
      </c>
      <c r="G14" s="11" t="s">
        <v>2416</v>
      </c>
      <c r="H14" s="20"/>
    </row>
    <row r="15" spans="1:8">
      <c r="A15" s="11" t="s">
        <v>2417</v>
      </c>
      <c r="B15" s="11" t="s">
        <v>2418</v>
      </c>
      <c r="C15" s="11" t="s">
        <v>1949</v>
      </c>
      <c r="D15" s="11" t="s">
        <v>2419</v>
      </c>
      <c r="E15" s="11" t="s">
        <v>195</v>
      </c>
      <c r="F15" s="11" t="s">
        <v>2420</v>
      </c>
      <c r="G15" s="11" t="s">
        <v>2421</v>
      </c>
      <c r="H15" s="20"/>
    </row>
    <row r="16" spans="1:8">
      <c r="A16" s="11" t="s">
        <v>2422</v>
      </c>
      <c r="B16" s="11" t="s">
        <v>2423</v>
      </c>
      <c r="C16" s="11" t="s">
        <v>1910</v>
      </c>
      <c r="D16" s="11"/>
      <c r="E16" s="11" t="s">
        <v>1563</v>
      </c>
      <c r="F16" s="11" t="s">
        <v>2424</v>
      </c>
      <c r="G16" s="11" t="s">
        <v>2421</v>
      </c>
      <c r="H16" s="20"/>
    </row>
    <row r="17" spans="1:8">
      <c r="A17" s="11" t="s">
        <v>2425</v>
      </c>
      <c r="B17" s="11" t="s">
        <v>2382</v>
      </c>
      <c r="C17" s="11" t="s">
        <v>1949</v>
      </c>
      <c r="D17" s="11"/>
      <c r="E17" s="11" t="s">
        <v>645</v>
      </c>
      <c r="F17" s="11" t="s">
        <v>2426</v>
      </c>
      <c r="G17" s="11" t="s">
        <v>2427</v>
      </c>
      <c r="H17" s="20"/>
    </row>
    <row r="18" spans="1:8">
      <c r="A18" s="11" t="s">
        <v>2428</v>
      </c>
      <c r="B18" s="11" t="s">
        <v>2382</v>
      </c>
      <c r="C18" s="11" t="s">
        <v>1949</v>
      </c>
      <c r="D18" s="11" t="s">
        <v>2429</v>
      </c>
      <c r="E18" s="11" t="s">
        <v>347</v>
      </c>
      <c r="F18" s="11" t="s">
        <v>2430</v>
      </c>
      <c r="G18" s="11" t="s">
        <v>2427</v>
      </c>
      <c r="H18" s="20"/>
    </row>
    <row r="19" spans="1:8">
      <c r="A19" s="11" t="s">
        <v>2431</v>
      </c>
      <c r="B19" s="11" t="s">
        <v>2382</v>
      </c>
      <c r="C19" s="11" t="s">
        <v>1949</v>
      </c>
      <c r="D19" s="11" t="s">
        <v>2432</v>
      </c>
      <c r="E19" s="11" t="s">
        <v>645</v>
      </c>
      <c r="F19" s="11" t="s">
        <v>2433</v>
      </c>
      <c r="G19" s="11" t="s">
        <v>253</v>
      </c>
      <c r="H19" s="20"/>
    </row>
    <row r="20" spans="1:8">
      <c r="A20" s="11" t="s">
        <v>2434</v>
      </c>
      <c r="B20" s="11" t="s">
        <v>2382</v>
      </c>
      <c r="C20" s="11" t="s">
        <v>1949</v>
      </c>
      <c r="D20" s="11" t="s">
        <v>2435</v>
      </c>
      <c r="E20" s="11" t="s">
        <v>645</v>
      </c>
      <c r="F20" s="11" t="s">
        <v>2436</v>
      </c>
      <c r="G20" s="11" t="s">
        <v>2382</v>
      </c>
      <c r="H20" s="20"/>
    </row>
    <row r="21" spans="1:8">
      <c r="A21" s="11" t="s">
        <v>2437</v>
      </c>
      <c r="B21" s="11" t="s">
        <v>2382</v>
      </c>
      <c r="C21" s="11" t="s">
        <v>1949</v>
      </c>
      <c r="D21" s="11" t="s">
        <v>2438</v>
      </c>
      <c r="E21" s="11" t="s">
        <v>347</v>
      </c>
      <c r="F21" s="11" t="s">
        <v>2439</v>
      </c>
      <c r="G21" s="11" t="s">
        <v>2416</v>
      </c>
      <c r="H21" s="20"/>
    </row>
    <row r="22" spans="1:8">
      <c r="A22" s="11" t="s">
        <v>2440</v>
      </c>
      <c r="B22" s="11" t="s">
        <v>2382</v>
      </c>
      <c r="C22" s="11" t="s">
        <v>1949</v>
      </c>
      <c r="D22" s="11" t="s">
        <v>2441</v>
      </c>
      <c r="E22" s="11" t="s">
        <v>347</v>
      </c>
      <c r="F22" s="11" t="s">
        <v>2442</v>
      </c>
      <c r="G22" s="11" t="s">
        <v>2402</v>
      </c>
      <c r="H22" s="20"/>
    </row>
    <row r="23" spans="1:8">
      <c r="A23" s="11" t="s">
        <v>2443</v>
      </c>
      <c r="B23" s="11" t="s">
        <v>2382</v>
      </c>
      <c r="C23" s="11" t="s">
        <v>1949</v>
      </c>
      <c r="D23" s="11" t="s">
        <v>2444</v>
      </c>
      <c r="E23" s="11" t="s">
        <v>347</v>
      </c>
      <c r="F23" s="11" t="s">
        <v>2445</v>
      </c>
      <c r="G23" s="11" t="s">
        <v>2402</v>
      </c>
      <c r="H23" s="20"/>
    </row>
    <row r="24" spans="1:8">
      <c r="A24" s="11" t="s">
        <v>2446</v>
      </c>
      <c r="B24" s="11" t="s">
        <v>2382</v>
      </c>
      <c r="C24" s="11" t="s">
        <v>1949</v>
      </c>
      <c r="D24" s="11" t="s">
        <v>2447</v>
      </c>
      <c r="E24" s="11" t="s">
        <v>499</v>
      </c>
      <c r="F24" s="11" t="s">
        <v>2448</v>
      </c>
      <c r="G24" s="11" t="s">
        <v>2100</v>
      </c>
      <c r="H24" s="20"/>
    </row>
    <row r="25" spans="1:8">
      <c r="A25" s="11" t="s">
        <v>2449</v>
      </c>
      <c r="B25" s="11" t="s">
        <v>2382</v>
      </c>
      <c r="C25" s="11" t="s">
        <v>1949</v>
      </c>
      <c r="D25" s="11" t="s">
        <v>2450</v>
      </c>
      <c r="E25" s="11" t="s">
        <v>499</v>
      </c>
      <c r="F25" s="11" t="s">
        <v>2451</v>
      </c>
      <c r="G25" s="11" t="s">
        <v>2452</v>
      </c>
      <c r="H25" s="20"/>
    </row>
    <row r="26" spans="1:8">
      <c r="A26" s="11" t="s">
        <v>2453</v>
      </c>
      <c r="B26" s="11" t="s">
        <v>2382</v>
      </c>
      <c r="C26" s="11" t="s">
        <v>1949</v>
      </c>
      <c r="D26" s="11" t="s">
        <v>2454</v>
      </c>
      <c r="E26" s="11" t="s">
        <v>499</v>
      </c>
      <c r="F26" s="11" t="s">
        <v>2455</v>
      </c>
      <c r="G26" s="11" t="s">
        <v>2100</v>
      </c>
      <c r="H26" s="20"/>
    </row>
    <row r="27" spans="1:8">
      <c r="A27" s="11" t="s">
        <v>2456</v>
      </c>
      <c r="B27" s="11" t="s">
        <v>2382</v>
      </c>
      <c r="C27" s="11" t="s">
        <v>1949</v>
      </c>
      <c r="D27" s="11" t="s">
        <v>2457</v>
      </c>
      <c r="E27" s="11" t="s">
        <v>499</v>
      </c>
      <c r="F27" s="11" t="s">
        <v>2458</v>
      </c>
      <c r="G27" s="11" t="s">
        <v>2100</v>
      </c>
      <c r="H27" s="20"/>
    </row>
    <row r="28" spans="1:8">
      <c r="A28" s="11" t="s">
        <v>2459</v>
      </c>
      <c r="B28" s="11" t="s">
        <v>2382</v>
      </c>
      <c r="C28" s="11" t="s">
        <v>1949</v>
      </c>
      <c r="D28" s="11" t="s">
        <v>2460</v>
      </c>
      <c r="E28" s="11" t="s">
        <v>347</v>
      </c>
      <c r="F28" s="11" t="s">
        <v>2461</v>
      </c>
      <c r="G28" s="11" t="s">
        <v>442</v>
      </c>
      <c r="H28" s="20"/>
    </row>
    <row r="29" spans="1:8">
      <c r="A29" s="11" t="s">
        <v>2462</v>
      </c>
      <c r="B29" s="11" t="s">
        <v>2382</v>
      </c>
      <c r="C29" s="11" t="s">
        <v>1949</v>
      </c>
      <c r="D29" s="11" t="s">
        <v>2463</v>
      </c>
      <c r="E29" s="11" t="s">
        <v>499</v>
      </c>
      <c r="F29" s="11" t="s">
        <v>2464</v>
      </c>
      <c r="G29" s="11" t="s">
        <v>442</v>
      </c>
      <c r="H29" s="20"/>
    </row>
    <row r="30" spans="1:8">
      <c r="A30" s="11" t="s">
        <v>2465</v>
      </c>
      <c r="B30" s="11" t="s">
        <v>2382</v>
      </c>
      <c r="C30" s="11" t="s">
        <v>1949</v>
      </c>
      <c r="D30" s="11" t="s">
        <v>2466</v>
      </c>
      <c r="E30" s="11" t="s">
        <v>1563</v>
      </c>
      <c r="F30" s="11" t="s">
        <v>2467</v>
      </c>
      <c r="G30" s="11" t="s">
        <v>2468</v>
      </c>
      <c r="H30" s="20"/>
    </row>
    <row r="31" spans="1:8">
      <c r="A31" s="11" t="s">
        <v>2469</v>
      </c>
      <c r="B31" s="11" t="s">
        <v>2423</v>
      </c>
      <c r="C31" s="11" t="s">
        <v>1910</v>
      </c>
      <c r="D31" s="11"/>
      <c r="E31" s="11" t="s">
        <v>1563</v>
      </c>
      <c r="F31" s="11" t="s">
        <v>2470</v>
      </c>
      <c r="G31" s="11" t="s">
        <v>2468</v>
      </c>
      <c r="H31" s="20"/>
    </row>
    <row r="32" spans="1:8">
      <c r="A32" s="11" t="s">
        <v>2471</v>
      </c>
      <c r="B32" s="11" t="s">
        <v>2423</v>
      </c>
      <c r="C32" s="11" t="s">
        <v>1910</v>
      </c>
      <c r="D32" s="11"/>
      <c r="E32" s="11" t="s">
        <v>2114</v>
      </c>
      <c r="F32" s="11" t="s">
        <v>2472</v>
      </c>
      <c r="G32" s="11" t="s">
        <v>2473</v>
      </c>
      <c r="H32" s="20"/>
    </row>
    <row r="33" spans="1:8">
      <c r="A33" s="11" t="s">
        <v>2474</v>
      </c>
      <c r="B33" s="11" t="s">
        <v>2382</v>
      </c>
      <c r="C33" s="11" t="s">
        <v>1949</v>
      </c>
      <c r="D33" s="11" t="s">
        <v>2475</v>
      </c>
      <c r="E33" s="11" t="s">
        <v>2114</v>
      </c>
      <c r="F33" s="11" t="s">
        <v>2476</v>
      </c>
      <c r="G33" s="11" t="s">
        <v>2473</v>
      </c>
      <c r="H33" s="20"/>
    </row>
    <row r="34" spans="1:8">
      <c r="A34" s="11" t="s">
        <v>2477</v>
      </c>
      <c r="B34" s="11" t="s">
        <v>2478</v>
      </c>
      <c r="C34" s="11" t="s">
        <v>1949</v>
      </c>
      <c r="D34" s="11" t="s">
        <v>2479</v>
      </c>
      <c r="E34" s="11" t="s">
        <v>645</v>
      </c>
      <c r="F34" s="11" t="s">
        <v>2480</v>
      </c>
      <c r="G34" s="11" t="s">
        <v>2481</v>
      </c>
      <c r="H34" s="20"/>
    </row>
    <row r="35" spans="1:8">
      <c r="A35" s="11" t="s">
        <v>2482</v>
      </c>
      <c r="B35" s="11" t="s">
        <v>2478</v>
      </c>
      <c r="C35" s="11" t="s">
        <v>1949</v>
      </c>
      <c r="D35" s="11" t="s">
        <v>2483</v>
      </c>
      <c r="E35" s="11" t="s">
        <v>645</v>
      </c>
      <c r="F35" s="11" t="s">
        <v>2484</v>
      </c>
      <c r="G35" s="11" t="s">
        <v>2485</v>
      </c>
      <c r="H35" s="20"/>
    </row>
    <row r="36" spans="1:8">
      <c r="A36" s="11" t="s">
        <v>2486</v>
      </c>
      <c r="B36" s="11" t="s">
        <v>2487</v>
      </c>
      <c r="C36" s="11" t="s">
        <v>1949</v>
      </c>
      <c r="D36" s="11" t="s">
        <v>2488</v>
      </c>
      <c r="E36" s="11" t="s">
        <v>24</v>
      </c>
      <c r="F36" s="11" t="s">
        <v>2489</v>
      </c>
      <c r="G36" s="11" t="s">
        <v>2490</v>
      </c>
      <c r="H36" s="20"/>
    </row>
    <row r="37" spans="1:8">
      <c r="A37" s="11" t="s">
        <v>2491</v>
      </c>
      <c r="B37" s="11" t="s">
        <v>2487</v>
      </c>
      <c r="C37" s="11" t="s">
        <v>1949</v>
      </c>
      <c r="D37" s="11" t="s">
        <v>2492</v>
      </c>
      <c r="E37" s="11" t="s">
        <v>24</v>
      </c>
      <c r="F37" s="11" t="s">
        <v>2493</v>
      </c>
      <c r="G37" s="11" t="s">
        <v>2490</v>
      </c>
      <c r="H37" s="20"/>
    </row>
    <row r="38" spans="1:8">
      <c r="A38" s="11" t="s">
        <v>2494</v>
      </c>
      <c r="B38" s="11" t="s">
        <v>2487</v>
      </c>
      <c r="C38" s="11" t="s">
        <v>1949</v>
      </c>
      <c r="D38" s="11" t="s">
        <v>2495</v>
      </c>
      <c r="E38" s="11" t="s">
        <v>24</v>
      </c>
      <c r="F38" s="11" t="s">
        <v>2496</v>
      </c>
      <c r="G38" s="11" t="s">
        <v>2490</v>
      </c>
      <c r="H38" s="20"/>
    </row>
  </sheetData>
  <mergeCells count="2">
    <mergeCell ref="A2:H2"/>
    <mergeCell ref="A1:H1"/>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7" t="s">
        <v>2497</v>
      </c>
      <c r="B1" s="58"/>
      <c r="C1" s="58"/>
      <c r="D1" s="58"/>
      <c r="E1" s="58"/>
      <c r="F1" s="58"/>
    </row>
    <row r="2" spans="1:6" ht="31.95" customHeight="1">
      <c r="A2" s="59" t="s">
        <v>2498</v>
      </c>
      <c r="B2" s="58"/>
      <c r="C2" s="58"/>
      <c r="D2" s="58"/>
      <c r="E2" s="58"/>
      <c r="F2" s="58"/>
    </row>
    <row r="5" spans="1:6" ht="28.05" customHeight="1">
      <c r="A5" s="1" t="s">
        <v>2499</v>
      </c>
      <c r="B5" s="2" t="s">
        <v>2500</v>
      </c>
      <c r="C5" s="2" t="s">
        <v>2501</v>
      </c>
      <c r="D5" s="2" t="s">
        <v>2502</v>
      </c>
      <c r="E5" s="2" t="s">
        <v>2503</v>
      </c>
      <c r="F5" s="3" t="s">
        <v>2504</v>
      </c>
    </row>
    <row r="6" spans="1:6" ht="22.8" customHeight="1">
      <c r="A6" s="10" t="s">
        <v>2505</v>
      </c>
      <c r="B6" s="10" t="s">
        <v>2506</v>
      </c>
      <c r="C6" s="10" t="s">
        <v>2507</v>
      </c>
      <c r="D6" s="10" t="s">
        <v>2508</v>
      </c>
      <c r="E6" s="10" t="s">
        <v>2509</v>
      </c>
      <c r="F6" s="10" t="s">
        <v>2510</v>
      </c>
    </row>
    <row r="7" spans="1:6" ht="22.8" customHeight="1">
      <c r="A7" s="11" t="s">
        <v>2511</v>
      </c>
      <c r="B7" s="11" t="s">
        <v>2512</v>
      </c>
      <c r="C7" s="11" t="s">
        <v>2513</v>
      </c>
      <c r="D7" s="11" t="s">
        <v>2514</v>
      </c>
      <c r="E7" s="11" t="s">
        <v>2515</v>
      </c>
      <c r="F7" s="11" t="s">
        <v>2510</v>
      </c>
    </row>
    <row r="8" spans="1:6" ht="45.6" customHeight="1">
      <c r="A8" s="11" t="s">
        <v>2516</v>
      </c>
      <c r="B8" s="11" t="s">
        <v>2517</v>
      </c>
      <c r="C8" s="11" t="s">
        <v>2518</v>
      </c>
      <c r="D8" s="11" t="s">
        <v>2519</v>
      </c>
      <c r="E8" s="11" t="s">
        <v>2520</v>
      </c>
      <c r="F8" s="11" t="s">
        <v>2521</v>
      </c>
    </row>
    <row r="11" spans="1:6" ht="46.05" customHeight="1">
      <c r="A11" s="60" t="s">
        <v>2522</v>
      </c>
      <c r="B11" s="70"/>
      <c r="C11" s="70"/>
      <c r="D11" s="70"/>
      <c r="E11" s="70"/>
      <c r="F11" s="71"/>
    </row>
  </sheetData>
  <mergeCells count="3">
    <mergeCell ref="A2:F2"/>
    <mergeCell ref="A11:F11"/>
    <mergeCell ref="A1:F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90" t="s">
        <v>2523</v>
      </c>
      <c r="B1" s="58"/>
      <c r="C1" s="58"/>
      <c r="D1" s="58"/>
      <c r="E1" s="58"/>
      <c r="F1" s="58"/>
      <c r="G1" s="58"/>
      <c r="H1" s="58"/>
    </row>
    <row r="2" spans="1:8" ht="36" customHeight="1">
      <c r="A2" s="89" t="s">
        <v>2524</v>
      </c>
      <c r="B2" s="58"/>
      <c r="C2" s="58"/>
      <c r="D2" s="58"/>
      <c r="E2" s="58"/>
      <c r="F2" s="58"/>
      <c r="G2" s="58"/>
      <c r="H2" s="58"/>
    </row>
    <row r="3" spans="1:8" ht="15" customHeight="1">
      <c r="A3" s="29"/>
      <c r="B3" s="29"/>
      <c r="C3" s="29"/>
      <c r="D3" s="29"/>
      <c r="E3" s="29"/>
      <c r="F3" s="29"/>
      <c r="G3" s="29"/>
      <c r="H3" s="29"/>
    </row>
    <row r="4" spans="1:8" ht="15" customHeight="1">
      <c r="A4" s="88" t="s">
        <v>972</v>
      </c>
      <c r="B4" s="58"/>
      <c r="C4" s="58"/>
      <c r="D4" s="58"/>
      <c r="E4" s="58"/>
      <c r="F4" s="58"/>
      <c r="G4" s="58"/>
      <c r="H4" s="58"/>
    </row>
    <row r="5" spans="1:8" ht="118.8" customHeight="1">
      <c r="A5" s="36" t="s">
        <v>2525</v>
      </c>
      <c r="B5" s="37" t="s">
        <v>2526</v>
      </c>
      <c r="C5" s="37" t="s">
        <v>2527</v>
      </c>
      <c r="D5" s="37" t="s">
        <v>2528</v>
      </c>
      <c r="E5" s="37" t="s">
        <v>2529</v>
      </c>
      <c r="F5" s="37" t="s">
        <v>2530</v>
      </c>
      <c r="G5" s="37" t="s">
        <v>2531</v>
      </c>
      <c r="H5" s="38" t="s">
        <v>2532</v>
      </c>
    </row>
    <row r="6" spans="1:8" ht="105.6" customHeight="1">
      <c r="A6" s="39" t="s">
        <v>2533</v>
      </c>
      <c r="B6" s="40" t="s">
        <v>2534</v>
      </c>
      <c r="C6" s="40" t="s">
        <v>2535</v>
      </c>
      <c r="D6" s="40" t="s">
        <v>2536</v>
      </c>
      <c r="E6" s="40" t="s">
        <v>2537</v>
      </c>
      <c r="F6" s="40" t="s">
        <v>2538</v>
      </c>
      <c r="G6" s="40" t="s">
        <v>2539</v>
      </c>
      <c r="H6" s="41" t="s">
        <v>2540</v>
      </c>
    </row>
    <row r="7" spans="1:8" ht="132" customHeight="1">
      <c r="A7" s="39" t="s">
        <v>2454</v>
      </c>
      <c r="B7" s="40" t="s">
        <v>2541</v>
      </c>
      <c r="C7" s="40" t="s">
        <v>991</v>
      </c>
      <c r="D7" s="40" t="s">
        <v>2542</v>
      </c>
      <c r="E7" s="40" t="s">
        <v>1344</v>
      </c>
      <c r="F7" s="40" t="s">
        <v>2543</v>
      </c>
      <c r="G7" s="40" t="s">
        <v>2544</v>
      </c>
      <c r="H7" s="41" t="s">
        <v>2545</v>
      </c>
    </row>
    <row r="8" spans="1:8" ht="118.8" customHeight="1">
      <c r="A8" s="39" t="s">
        <v>2546</v>
      </c>
      <c r="B8" s="40" t="s">
        <v>2547</v>
      </c>
      <c r="C8" s="40" t="s">
        <v>2548</v>
      </c>
      <c r="D8" s="40" t="s">
        <v>2549</v>
      </c>
      <c r="E8" s="40" t="s">
        <v>2550</v>
      </c>
      <c r="F8" s="40" t="s">
        <v>2551</v>
      </c>
      <c r="G8" s="40" t="s">
        <v>2552</v>
      </c>
      <c r="H8" s="41" t="s">
        <v>2553</v>
      </c>
    </row>
    <row r="9" spans="1:8" ht="118.8" customHeight="1">
      <c r="A9" s="39" t="s">
        <v>2438</v>
      </c>
      <c r="B9" s="40" t="s">
        <v>2554</v>
      </c>
      <c r="C9" s="40" t="s">
        <v>2555</v>
      </c>
      <c r="D9" s="40" t="s">
        <v>2556</v>
      </c>
      <c r="E9" s="40" t="s">
        <v>2557</v>
      </c>
      <c r="F9" s="40" t="s">
        <v>2558</v>
      </c>
      <c r="G9" s="40" t="s">
        <v>2559</v>
      </c>
      <c r="H9" s="41" t="s">
        <v>2560</v>
      </c>
    </row>
    <row r="10" spans="1:8" ht="132" customHeight="1">
      <c r="A10" s="42" t="s">
        <v>2447</v>
      </c>
      <c r="B10" s="43" t="s">
        <v>2561</v>
      </c>
      <c r="C10" s="43" t="s">
        <v>2562</v>
      </c>
      <c r="D10" s="43" t="s">
        <v>2563</v>
      </c>
      <c r="E10" s="43" t="s">
        <v>185</v>
      </c>
      <c r="F10" s="43" t="s">
        <v>2564</v>
      </c>
      <c r="G10" s="43" t="s">
        <v>2565</v>
      </c>
      <c r="H10" s="44" t="s">
        <v>2566</v>
      </c>
    </row>
    <row r="11" spans="1:8" ht="15" customHeight="1">
      <c r="A11" s="29"/>
      <c r="B11" s="29"/>
      <c r="C11" s="29"/>
      <c r="D11" s="29"/>
      <c r="E11" s="29"/>
      <c r="F11" s="29"/>
      <c r="G11" s="29"/>
      <c r="H11" s="29"/>
    </row>
    <row r="12" spans="1:8" ht="39.6" customHeight="1">
      <c r="A12" s="29" t="s">
        <v>3</v>
      </c>
      <c r="B12" s="29" t="s">
        <v>2567</v>
      </c>
      <c r="C12" s="29" t="s">
        <v>2568</v>
      </c>
      <c r="D12" s="29" t="s">
        <v>2569</v>
      </c>
      <c r="E12" s="29" t="s">
        <v>2570</v>
      </c>
      <c r="F12" s="29" t="s">
        <v>2571</v>
      </c>
      <c r="G12" s="29" t="s">
        <v>2572</v>
      </c>
      <c r="H12" s="29" t="s">
        <v>2573</v>
      </c>
    </row>
    <row r="13" spans="1:8" ht="145.19999999999999" customHeight="1">
      <c r="A13" s="29" t="s">
        <v>24</v>
      </c>
      <c r="B13" s="29" t="s">
        <v>2574</v>
      </c>
      <c r="C13" s="29" t="s">
        <v>2575</v>
      </c>
      <c r="D13" s="29" t="s">
        <v>2576</v>
      </c>
      <c r="E13" s="29" t="s">
        <v>2577</v>
      </c>
      <c r="F13" s="29" t="s">
        <v>2578</v>
      </c>
      <c r="G13" s="29" t="s">
        <v>181</v>
      </c>
      <c r="H13" s="29" t="str">
        <f>IF(COUNTIFS('02 Master Plan'!$B$6:$B$120,A13,'02 Master Plan'!$D$6:$D$120,"MUST",'02 Master Plan'!$S$6:$S$120,"&lt;&gt;Done")=0,"Ready to teach","In progress")</f>
        <v>Ready to teach</v>
      </c>
    </row>
    <row r="14" spans="1:8" ht="145.19999999999999" customHeight="1">
      <c r="A14" s="29" t="s">
        <v>195</v>
      </c>
      <c r="B14" s="29" t="s">
        <v>2579</v>
      </c>
      <c r="C14" s="29" t="s">
        <v>2580</v>
      </c>
      <c r="D14" s="29" t="s">
        <v>2581</v>
      </c>
      <c r="E14" s="29" t="s">
        <v>2582</v>
      </c>
      <c r="F14" s="29" t="s">
        <v>2583</v>
      </c>
      <c r="G14" s="29" t="s">
        <v>338</v>
      </c>
      <c r="H14" s="29" t="str">
        <f>IF(COUNTIFS('02 Master Plan'!$B$6:$B$120,A14,'02 Master Plan'!$D$6:$D$120,"MUST",'02 Master Plan'!$S$6:$S$120,"&lt;&gt;Done")=0,"Ready to teach","In progress")</f>
        <v>Ready to teach</v>
      </c>
    </row>
    <row r="15" spans="1:8" ht="118.8" customHeight="1">
      <c r="A15" s="29" t="s">
        <v>347</v>
      </c>
      <c r="B15" s="29" t="s">
        <v>2584</v>
      </c>
      <c r="C15" s="29" t="s">
        <v>2585</v>
      </c>
      <c r="D15" s="29" t="s">
        <v>2586</v>
      </c>
      <c r="E15" s="29" t="s">
        <v>2587</v>
      </c>
      <c r="F15" s="29" t="s">
        <v>2588</v>
      </c>
      <c r="G15" s="29" t="s">
        <v>489</v>
      </c>
      <c r="H15" s="29" t="str">
        <f>IF(COUNTIFS('02 Master Plan'!$B$6:$B$120,A15,'02 Master Plan'!$D$6:$D$120,"MUST",'02 Master Plan'!$S$6:$S$120,"&lt;&gt;Done")=0,"Ready to teach","In progress")</f>
        <v>Ready to teach</v>
      </c>
    </row>
    <row r="16" spans="1:8" ht="118.8" customHeight="1">
      <c r="A16" s="29" t="s">
        <v>499</v>
      </c>
      <c r="B16" s="29" t="s">
        <v>2589</v>
      </c>
      <c r="C16" s="29" t="s">
        <v>2590</v>
      </c>
      <c r="D16" s="29" t="s">
        <v>2591</v>
      </c>
      <c r="E16" s="29" t="s">
        <v>2592</v>
      </c>
      <c r="F16" s="29" t="s">
        <v>2593</v>
      </c>
      <c r="G16" s="29" t="s">
        <v>635</v>
      </c>
      <c r="H16" s="29" t="str">
        <f>IF(COUNTIFS('02 Master Plan'!$B$6:$B$120,A16,'02 Master Plan'!$D$6:$D$120,"MUST",'02 Master Plan'!$S$6:$S$120,"&lt;&gt;Done")=0,"Ready to teach","In progress")</f>
        <v>Ready to teach</v>
      </c>
    </row>
    <row r="17" spans="1:8" ht="118.8" customHeight="1">
      <c r="A17" s="29" t="s">
        <v>645</v>
      </c>
      <c r="B17" s="29" t="s">
        <v>2594</v>
      </c>
      <c r="C17" s="29" t="s">
        <v>2595</v>
      </c>
      <c r="D17" s="29" t="s">
        <v>2596</v>
      </c>
      <c r="E17" s="29" t="s">
        <v>2597</v>
      </c>
      <c r="F17" s="29" t="s">
        <v>2598</v>
      </c>
      <c r="G17" s="29" t="s">
        <v>802</v>
      </c>
      <c r="H17" s="29" t="str">
        <f>IF(COUNTIFS('02 Master Plan'!$B$6:$B$120,A17,'02 Master Plan'!$D$6:$D$120,"MUST",'02 Master Plan'!$S$6:$S$120,"&lt;&gt;Done")=0,"Ready to teach","In progress")</f>
        <v>Ready to teach</v>
      </c>
    </row>
    <row r="18" spans="1:8" ht="132" customHeight="1">
      <c r="A18" s="29" t="s">
        <v>812</v>
      </c>
      <c r="B18" s="29" t="s">
        <v>2599</v>
      </c>
      <c r="C18" s="29" t="s">
        <v>2600</v>
      </c>
      <c r="D18" s="29" t="s">
        <v>2601</v>
      </c>
      <c r="E18" s="29" t="s">
        <v>2602</v>
      </c>
      <c r="F18" s="29" t="s">
        <v>2603</v>
      </c>
      <c r="G18" s="29" t="s">
        <v>960</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88" t="s">
        <v>2604</v>
      </c>
      <c r="B20" s="58"/>
      <c r="C20" s="58"/>
      <c r="D20" s="58"/>
      <c r="E20" s="58"/>
      <c r="F20" s="58"/>
      <c r="G20" s="58"/>
      <c r="H20" s="58"/>
    </row>
    <row r="21" spans="1:8" ht="118.8" customHeight="1">
      <c r="A21" s="45" t="s">
        <v>2605</v>
      </c>
      <c r="B21" s="46" t="s">
        <v>2606</v>
      </c>
      <c r="C21" s="29"/>
      <c r="D21" s="29"/>
      <c r="E21" s="29"/>
      <c r="F21" s="29"/>
      <c r="G21" s="29"/>
      <c r="H21" s="29"/>
    </row>
    <row r="22" spans="1:8" ht="132" customHeight="1">
      <c r="A22" s="47" t="s">
        <v>2607</v>
      </c>
      <c r="B22" s="48" t="s">
        <v>2608</v>
      </c>
      <c r="C22" s="29"/>
      <c r="D22" s="29"/>
      <c r="E22" s="29"/>
      <c r="F22" s="29"/>
      <c r="G22" s="29"/>
      <c r="H22" s="29"/>
    </row>
    <row r="23" spans="1:8" ht="132" customHeight="1">
      <c r="A23" s="47" t="s">
        <v>2609</v>
      </c>
      <c r="B23" s="48" t="s">
        <v>2610</v>
      </c>
      <c r="C23" s="29"/>
      <c r="D23" s="29"/>
      <c r="E23" s="29"/>
      <c r="F23" s="29"/>
      <c r="G23" s="29"/>
      <c r="H23" s="29"/>
    </row>
    <row r="24" spans="1:8" ht="132" customHeight="1">
      <c r="A24" s="47" t="s">
        <v>1955</v>
      </c>
      <c r="B24" s="48" t="s">
        <v>2611</v>
      </c>
      <c r="C24" s="29"/>
      <c r="D24" s="29"/>
      <c r="E24" s="29"/>
      <c r="F24" s="29"/>
      <c r="G24" s="29"/>
      <c r="H24" s="29"/>
    </row>
    <row r="25" spans="1:8" ht="132" customHeight="1">
      <c r="A25" s="47" t="s">
        <v>2612</v>
      </c>
      <c r="B25" s="48" t="s">
        <v>2613</v>
      </c>
      <c r="C25" s="29"/>
      <c r="D25" s="29"/>
      <c r="E25" s="29"/>
      <c r="F25" s="29"/>
      <c r="G25" s="29"/>
      <c r="H25" s="29"/>
    </row>
    <row r="26" spans="1:8" ht="132" customHeight="1">
      <c r="A26" s="49" t="s">
        <v>2614</v>
      </c>
      <c r="B26" s="50" t="s">
        <v>2615</v>
      </c>
      <c r="C26" s="29"/>
      <c r="D26" s="29"/>
      <c r="E26" s="29"/>
      <c r="F26" s="29"/>
      <c r="G26" s="29"/>
      <c r="H26" s="29"/>
    </row>
  </sheetData>
  <mergeCells count="4">
    <mergeCell ref="A4:H4"/>
    <mergeCell ref="A20:H20"/>
    <mergeCell ref="A2:H2"/>
    <mergeCell ref="A1:H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 P Rai</cp:lastModifiedBy>
  <dcterms:created xsi:type="dcterms:W3CDTF">2026-09-16T08:48:29Z</dcterms:created>
  <dcterms:modified xsi:type="dcterms:W3CDTF">2026-09-23T01:19:25Z</dcterms:modified>
</cp:coreProperties>
</file>