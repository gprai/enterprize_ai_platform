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20001_{FE393337-111D-4904-9B23-42DC3055DBA3}" xr6:coauthVersionLast="47" xr6:coauthVersionMax="47" xr10:uidLastSave="{00000000-0000-0000-0000-000000000000}"/>
  <bookViews>
    <workbookView xWindow="-108" yWindow="-108" windowWidth="23256" windowHeight="13896" tabRatio="843" firstSheet="6"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D18" i="2" s="1"/>
  <c r="H18" i="2" s="1"/>
  <c r="H17" i="2"/>
  <c r="G17" i="2"/>
  <c r="E17" i="2"/>
  <c r="D17" i="2"/>
  <c r="C17" i="2"/>
  <c r="B17" i="2"/>
  <c r="G16" i="2"/>
  <c r="E16" i="2"/>
  <c r="C16" i="2"/>
  <c r="B16" i="2"/>
  <c r="D16" i="2" s="1"/>
  <c r="H16" i="2" s="1"/>
  <c r="G15" i="2"/>
  <c r="E15" i="2"/>
  <c r="C15" i="2"/>
  <c r="B15" i="2"/>
  <c r="D15" i="2" s="1"/>
  <c r="H15" i="2" s="1"/>
  <c r="G14" i="2"/>
  <c r="E14" i="2"/>
  <c r="C14" i="2"/>
  <c r="D14" i="2" s="1"/>
  <c r="H14" i="2" s="1"/>
  <c r="B14" i="2"/>
  <c r="G13" i="2"/>
  <c r="E13" i="2"/>
  <c r="C13" i="2"/>
  <c r="B13" i="2"/>
  <c r="D13" i="2" s="1"/>
  <c r="H13" i="2" s="1"/>
  <c r="J8" i="2"/>
  <c r="G8" i="2"/>
  <c r="D8" i="2"/>
  <c r="A8" i="2"/>
  <c r="J5" i="2"/>
  <c r="G5" i="2"/>
  <c r="D5" i="2"/>
  <c r="A5" i="2"/>
</calcChain>
</file>

<file path=xl/sharedStrings.xml><?xml version="1.0" encoding="utf-8"?>
<sst xmlns="http://schemas.openxmlformats.org/spreadsheetml/2006/main" count="5397" uniqueCount="2596">
  <si>
    <t>How to use the workbook</t>
  </si>
  <si>
    <t>Operating rules</t>
  </si>
  <si>
    <t>MUST — required for the six-week MVP and weekly gate.</t>
  </si>
  <si>
    <t>SHOULD — hardening or AWS deployment value; defer only with owner-recorded risk.</t>
  </si>
  <si>
    <t>OPTIONAL — learn/adopt only when a measured requirement justifies cost/complexity.</t>
  </si>
  <si>
    <t>Editable project inputs — owner maintained</t>
  </si>
  <si>
    <t>Project start date</t>
  </si>
  <si>
    <t>Owner</t>
  </si>
  <si>
    <t>Gyan Prakash Rai</t>
  </si>
  <si>
    <t>Current week</t>
  </si>
  <si>
    <t>Week 1</t>
  </si>
  <si>
    <t>Monthly sandbox budget</t>
  </si>
  <si>
    <t>TODO</t>
  </si>
  <si>
    <t>Execution Dashboard</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</si>
  <si>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</si>
  <si>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</si>
  <si>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</si>
  <si>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</si>
  <si>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</si>
  <si>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</si>
  <si>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</si>
  <si>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</si>
  <si>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</si>
  <si>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</si>
  <si>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</si>
  <si>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</si>
  <si>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</si>
  <si>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</si>
  <si>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</si>
  <si>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</si>
  <si>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</si>
  <si>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</si>
  <si>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</si>
  <si>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Cloud mutations remain manual even when every automated gate passes.</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</si>
  <si>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</si>
  <si>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</si>
  <si>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</si>
  <si>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</si>
  <si>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</si>
  <si>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</si>
  <si>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</si>
  <si>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Week 3 — Cited RAG</t>
  </si>
  <si>
    <t>Cited RAG: provider-neutral LLM, Bedrock adapter, citations/abstention, guardrails, golden evaluation and regression rollback.</t>
  </si>
  <si>
    <t>A query returns a grounded cited answer or safe abstention; regression/security/rollback tests pass.</t>
  </si>
  <si>
    <t>Week 4 — API and Agent</t>
  </si>
  <si>
    <t>Controlled API and agent: FastAPI, LangGraph, budgets, human approval, redacted state, telemetry and release rollback.</t>
  </si>
  <si>
    <t>Write action cannot execute without policy and durable approval; previous release restores successfully.</t>
  </si>
  <si>
    <t>Week 5 — AWS Lifecycle</t>
  </si>
  <si>
    <t>AWS lifecycle proof: Terraform/policy/CI, reviewed plans, short-lived identity, deploy/rollback/teardown capability and orphan scan.</t>
  </si>
  <si>
    <t>Terraform/policy/plan/lifecycle evidence passes; no plaintext secret or unexpected unmanaged resource.</t>
  </si>
  <si>
    <t>Week 6 — EKS and SRE</t>
  </si>
  <si>
    <t>EKS/SRE final proof: immutable workload, identity/network/resilience, SLOs/runbook/chaos, rollback and complete teardown.</t>
  </si>
  <si>
    <t>End-to-end RAG meets gates; release rollback and full teardown/cleanliness proof are signed.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</si>
  <si>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</si>
  <si>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</si>
  <si>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</si>
  <si>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</si>
  <si>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</si>
  <si>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</si>
  <si>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</si>
  <si>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</si>
  <si>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</si>
  <si>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</si>
  <si>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</si>
  <si>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</si>
  <si>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</si>
  <si>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</si>
  <si>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</si>
  <si>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</si>
  <si>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</si>
  <si>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</si>
  <si>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</si>
  <si>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</si>
  <si>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</si>
  <si>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</si>
  <si>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ADR-006, ADR-017</t>
  </si>
  <si>
    <t>Bad files are quarantined; retries are bounded.</t>
  </si>
  <si>
    <t>Idempotency/quarantine evidence</t>
  </si>
  <si>
    <t>Sentence Transformers</t>
  </si>
  <si>
    <t>Converts text meaning to normalized vectors.</t>
  </si>
  <si>
    <t>Local CPU adapter</t>
  </si>
  <si>
    <t>ADR-002</t>
  </si>
  <si>
    <t>Dimension/model mismatch fails before upsert.</t>
  </si>
  <si>
    <t>Embedder unit tests</t>
  </si>
  <si>
    <t>Qdrant</t>
  </si>
  <si>
    <t>Local searchable catalogue for development/integration.</t>
  </si>
  <si>
    <t>MUST local</t>
  </si>
  <si>
    <t>ADR-003</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</si>
  <si>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</si>
  <si>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</si>
  <si>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</si>
  <si>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</si>
  <si>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</si>
  <si>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</si>
  <si>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</si>
  <si>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</si>
  <si>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</si>
  <si>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</si>
  <si>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</si>
  <si>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ADR-007</t>
  </si>
  <si>
    <t>Deadline/size/concurrency errors are normalized.</t>
  </si>
  <si>
    <t>API unit/smoke tests</t>
  </si>
  <si>
    <t>Identity + metadata policy</t>
  </si>
  <si>
    <t>Security desk checking who may retrieve or act.</t>
  </si>
  <si>
    <t>Authorize before retrieval/action</t>
  </si>
  <si>
    <t>Weeks 2,4</t>
  </si>
  <si>
    <t>ADR-006</t>
  </si>
  <si>
    <t>Deny before calling retriever or tool.</t>
  </si>
  <si>
    <t>Tenant/auth security tests</t>
  </si>
  <si>
    <t>Retriever interface</t>
  </si>
  <si>
    <t>Finds authorized evidence without leaking vendor types.</t>
  </si>
  <si>
    <t>Qdrant/OpenSearch adapters</t>
  </si>
  <si>
    <t>Weeks 2,3</t>
  </si>
  <si>
    <t>ADR-002, ADR-003</t>
  </si>
  <si>
    <t>Abstain/control-error when evidence/dependency is insufficient.</t>
  </si>
  <si>
    <t>Backend contract + recall@5</t>
  </si>
  <si>
    <t>Bedrock LLM adapter</t>
  </si>
  <si>
    <t>Language expert drafts from supplied evidence.</t>
  </si>
  <si>
    <t>Primary AWS LLM boundary</t>
  </si>
  <si>
    <t>ADR-004</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</si>
  <si>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</si>
  <si>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</si>
  <si>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</si>
  <si>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</si>
  <si>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</si>
  <si>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</si>
  <si>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</si>
  <si>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</si>
  <si>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</si>
  <si>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</si>
  <si>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</si>
  <si>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ADR-005</t>
  </si>
  <si>
    <t>Budget/timeout/denial ends in safe terminal.</t>
  </si>
  <si>
    <t>Graph path tests</t>
  </si>
  <si>
    <t>Allowlisted tools + approval</t>
  </si>
  <si>
    <t>Narrow functions; write actions need durable human decision.</t>
  </si>
  <si>
    <t>Read-only default</t>
  </si>
  <si>
    <t>ADR-005, ADR-006</t>
  </si>
  <si>
    <t>No valid approval means no write side effect.</t>
  </si>
  <si>
    <t>Approval/idempotency tests</t>
  </si>
  <si>
    <t>Runtime plane</t>
  </si>
  <si>
    <t>EKS + ECR</t>
  </si>
  <si>
    <t>Runs immutable API image with Kubernetes controls.</t>
  </si>
  <si>
    <t>Learning deployment target</t>
  </si>
  <si>
    <t>ADR-015</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</si>
  <si>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</si>
  <si>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</si>
  <si>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</si>
  <si>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</si>
  <si>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</si>
  <si>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</si>
  <si>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</si>
  <si>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</si>
  <si>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</si>
  <si>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</si>
  <si>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</si>
  <si>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</si>
  <si>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</si>
  <si>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</si>
  <si>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</si>
  <si>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</si>
  <si>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</si>
  <si>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</si>
  <si>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</si>
  <si>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</si>
  <si>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</si>
  <si>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</si>
  <si>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ADR-008</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</si>
  <si>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</si>
  <si>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</si>
  <si>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</si>
  <si>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</si>
  <si>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</si>
  <si>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</si>
  <si>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</si>
  <si>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</si>
  <si>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</si>
  <si>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</si>
  <si>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</si>
  <si>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</si>
  <si>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</si>
  <si>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</si>
  <si>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</si>
  <si>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</si>
  <si>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Prompt ID</t>
  </si>
  <si>
    <t>Feature</t>
  </si>
  <si>
    <t>Purpose</t>
  </si>
  <si>
    <t>Required Inputs</t>
  </si>
  <si>
    <t>Expected Outputs</t>
  </si>
  <si>
    <t>Main Prompt (paste first)</t>
  </si>
  <si>
    <t>Example Usage</t>
  </si>
  <si>
    <t>Verification / Stop Point</t>
  </si>
  <si>
    <t>Owner Approval</t>
  </si>
  <si>
    <t>Covered Tracker Steps</t>
  </si>
  <si>
    <t>CTX-001</t>
  </si>
  <si>
    <t>All</t>
  </si>
  <si>
    <t>Project context</t>
  </si>
  <si>
    <t>CTRL-001</t>
  </si>
  <si>
    <t>Mandatory control preamble</t>
  </si>
  <si>
    <t>All implementation groups</t>
  </si>
  <si>
    <t>TEST-001</t>
  </si>
  <si>
    <t>W1-MVP-001</t>
  </si>
  <si>
    <t>MVP scope and approval record</t>
  </si>
  <si>
    <t>Create the missing one-page MVP-001 source-of-truth artifact before repository implementation.</t>
  </si>
  <si>
    <t>USE-001, DATA-001 and five starter EVAL-001 questions; no credentials</t>
  </si>
  <si>
    <t>W1-01</t>
  </si>
  <si>
    <t>W1-GOV-001</t>
  </si>
  <si>
    <t>Source precedence ADR</t>
  </si>
  <si>
    <t>Create the missing governance decision without creating unrelated Codex context files.</t>
  </si>
  <si>
    <t>Source of Truth v1.1 and Coaching Blueprint as read-only references; no credentials</t>
  </si>
  <si>
    <t>W1-02</t>
  </si>
  <si>
    <t>W1-001</t>
  </si>
  <si>
    <t>Repository and feature-control foundation</t>
  </si>
  <si>
    <t>Create the traceability and evidence structure before feature code.</t>
  </si>
  <si>
    <t>TODO_REPOSITORY, TODO_USER_OR_TEAM, TODO_COST_CENTER</t>
  </si>
  <si>
    <t>W1-03, W1-04, W1-07</t>
  </si>
  <si>
    <t>W1-002</t>
  </si>
  <si>
    <t>Dependency and configuration foundation</t>
  </si>
  <si>
    <t>Make installation reproducible and configuration explicit.</t>
  </si>
  <si>
    <t>Python 3.11; no cloud credentials</t>
  </si>
  <si>
    <t>W1-05</t>
  </si>
  <si>
    <t>W1-003</t>
  </si>
  <si>
    <t>Test and evidence framework</t>
  </si>
  <si>
    <t>Make every acceptance criterion executable and auditable.</t>
  </si>
  <si>
    <t>Feature template and repo skeleton</t>
  </si>
  <si>
    <t>W1-06, W1-08</t>
  </si>
  <si>
    <t>W1-004</t>
  </si>
  <si>
    <t>Lifecycle controller and cleanup-verifier skeleton</t>
  </si>
  <si>
    <t>Treat deployability and reversibility as platform features.</t>
  </si>
  <si>
    <t>Required tag schema; sandbox-only scope</t>
  </si>
  <si>
    <t>W1-09, W1-10, W1-11</t>
  </si>
  <si>
    <t>W2-001</t>
  </si>
  <si>
    <t>W2-002</t>
  </si>
  <si>
    <t>Embedder contract and local adapter</t>
  </si>
  <si>
    <t>Support local and future provider embeddings through one boundary.</t>
  </si>
  <si>
    <t>EMBEDDING_MODEL_ID</t>
  </si>
  <si>
    <t>W2-05</t>
  </si>
  <si>
    <t>W2-003</t>
  </si>
  <si>
    <t>Secure ingestion pipeline</t>
  </si>
  <si>
    <t>Turn approved files into versioned, authorized chunks.</t>
  </si>
  <si>
    <t>Approved local sample path; tenant/classification rules</t>
  </si>
  <si>
    <t>W2-06, W2-07</t>
  </si>
  <si>
    <t>W2-004</t>
  </si>
  <si>
    <t>W2-LEARN-001</t>
  </si>
  <si>
    <t>Local retrieval architecture explanation</t>
  </si>
  <si>
    <t>Create an interview-ready explanation grounded in the implemented retrieval evidence.</t>
  </si>
  <si>
    <t>Approved W2 ADRs, adapter/chunking configuration and W2 evidence</t>
  </si>
  <si>
    <t>W2-11</t>
  </si>
  <si>
    <t>W3-001</t>
  </si>
  <si>
    <t>LLM adapters and cited RAG pipeline</t>
  </si>
  <si>
    <t>Generate evidence-bound answers while retaining provider portability.</t>
  </si>
  <si>
    <t>LLM_PROVIDER, LLM_MODEL_ID, AWS_REGION; Bedrock test is marked</t>
  </si>
  <si>
    <t>W3-01, W3-02, W3-03, W3-04</t>
  </si>
  <si>
    <t>W3-002</t>
  </si>
  <si>
    <t>Evaluation harness and release gate</t>
  </si>
  <si>
    <t>Replace subjective demonstrations with repeatable evidence.</t>
  </si>
  <si>
    <t>configs/eval/golden.jsonl with 25+ approved cases</t>
  </si>
  <si>
    <t>W3-06, W3-07, W3-10</t>
  </si>
  <si>
    <t>W3-003</t>
  </si>
  <si>
    <t>RAG guardrails and security regression suite</t>
  </si>
  <si>
    <t>Treat retrieved content as untrusted and enforce authorization outside the model.</t>
  </si>
  <si>
    <t>Classification/tenant rules; injection fixtures</t>
  </si>
  <si>
    <t>W3-05, W3-08</t>
  </si>
  <si>
    <t>W3-ROLLBACK-001</t>
  </si>
  <si>
    <t>Cited-RAG configuration rollback drill</t>
  </si>
  <si>
    <t>Prove prompt/model/retriever/index configuration can return to a known-good baseline.</t>
  </si>
  <si>
    <t>Approved baseline and exact local configuration paths from the pre-edit plan</t>
  </si>
  <si>
    <t>W3-11</t>
  </si>
  <si>
    <t>W4-001</t>
  </si>
  <si>
    <t>FastAPI service boundary</t>
  </si>
  <si>
    <t>Expose production-shaped, testable endpoints.</t>
  </si>
  <si>
    <t>Fake providers by default; auth interface choice</t>
  </si>
  <si>
    <t>W4-01, W4-02, W4-10</t>
  </si>
  <si>
    <t>W4-002</t>
  </si>
  <si>
    <t>Bounded LangGraph agent controller</t>
  </si>
  <si>
    <t>Add controlled agent behavior without uncontrolled autonomy.</t>
  </si>
  <si>
    <t>Step/tool/time budgets; approval-store decision</t>
  </si>
  <si>
    <t>W4-03, W4-04, W4-05, W4-06, W4-07, W4-09</t>
  </si>
  <si>
    <t>W4-003</t>
  </si>
  <si>
    <t>Application telemetry and redacted audit trail</t>
  </si>
  <si>
    <t>Make each RAG and agent stage explainable operationally.</t>
  </si>
  <si>
    <t>OTEL exporter endpoint; no content export</t>
  </si>
  <si>
    <t>W3-09, W4-08</t>
  </si>
  <si>
    <t>W4-ROLLBACK-001</t>
  </si>
  <si>
    <t>Local immutable release rollback drill</t>
  </si>
  <si>
    <t>Prove release rollback separately from infrastructure rollback.</t>
  </si>
  <si>
    <t>Approved local immutable releases N and N+1 and safe regression method</t>
  </si>
  <si>
    <t>W4-11</t>
  </si>
  <si>
    <t>W5-INPUTS-001</t>
  </si>
  <si>
    <t>AWS sandbox input approval</t>
  </si>
  <si>
    <t>Capture all non-secret AWS, network, tagging, residency and budget choices before Terraform work.</t>
  </si>
  <si>
    <t>AWS-001, AWS-002, NET-001, TAG-001, COST-001 and PRIV-001; no credentials</t>
  </si>
  <si>
    <t>W5-01</t>
  </si>
  <si>
    <t>W5-001</t>
  </si>
  <si>
    <t>Terraform AWS sandbox modules</t>
  </si>
  <si>
    <t>Produce reviewable infrastructure without secret material.</t>
  </si>
  <si>
    <t>TODO account, region, VPC/subnets, GitHub repo, tags, Bedrock models</t>
  </si>
  <si>
    <t>W5-02, W5-03, W5-04, W5-05</t>
  </si>
  <si>
    <t>W5-002</t>
  </si>
  <si>
    <t>GitHub Actions DevSecOps pipeline</t>
  </si>
  <si>
    <t>Enforce quality, IaC and supply-chain gates with short-lived identity.</t>
  </si>
  <si>
    <t>GitHub environment, OIDC role ARN, sandbox variables</t>
  </si>
  <si>
    <t>W5-07, W5-08, W6-01</t>
  </si>
  <si>
    <t>W5-003</t>
  </si>
  <si>
    <t>OPA and Checkov policy pack</t>
  </si>
  <si>
    <t>Make critical cloud controls executable before apply.</t>
  </si>
  <si>
    <t>Approved regions, encryption/tag rules, exception process</t>
  </si>
  <si>
    <t>W5-06</t>
  </si>
  <si>
    <t>W5-004</t>
  </si>
  <si>
    <t>Reviewed deploy, rollback, teardown and orphan scan</t>
  </si>
  <si>
    <t>Prove the AWS lifecycle without leaving unmanaged resources.</t>
  </si>
  <si>
    <t>Approved saved plan; budget ceiling; typed owner confirmations</t>
  </si>
  <si>
    <t>W5-09, W5-10, W5-11, W5-12, W6-12</t>
  </si>
  <si>
    <t>W6-001</t>
  </si>
  <si>
    <t>Immutable EKS application deployment</t>
  </si>
  <si>
    <t>Deploy the verified service with workload identity and safe rollout controls.</t>
  </si>
  <si>
    <t>EKS cluster/namespace, ECR digest, domain/cert, pod identity choice</t>
  </si>
  <si>
    <t>W6-02, W6-03, W6-04, W6-05</t>
  </si>
  <si>
    <t>W6-002</t>
  </si>
  <si>
    <t>SRE observability, alerts, runbook and chaos plan</t>
  </si>
  <si>
    <t>Make the platform supportable and measurable.</t>
  </si>
  <si>
    <t>SLO approval; alert destination; pre-production chaos approval</t>
  </si>
  <si>
    <t>W6-06, W6-07, W6-08, W6-09</t>
  </si>
  <si>
    <t>W6-003</t>
  </si>
  <si>
    <t>Final end-to-end proof and handover</t>
  </si>
  <si>
    <t>Demonstrate architecture, quality, safety, rollback and clean teardown together.</t>
  </si>
  <si>
    <t>Approved sandbox window and evidence locations</t>
  </si>
  <si>
    <t>W6-10, W6-11, W6-13</t>
  </si>
  <si>
    <t>WEEKLY-REVIEW-001</t>
  </si>
  <si>
    <t>Weeks 1-5</t>
  </si>
  <si>
    <t>Reusable weekly checkpoint</t>
  </si>
  <si>
    <t>Close each week only after tracker-to-repository-to-evidence reconciliation and independent validation.</t>
  </si>
  <si>
    <t>TODO_WEEK, current weekly sheet, evidence register, ADRs, TODOs and test results</t>
  </si>
  <si>
    <t>W1-12, W2-12, W3-12, W4-12, W5-13</t>
  </si>
  <si>
    <t>ST-001</t>
  </si>
  <si>
    <t>Post-MVP</t>
  </si>
  <si>
    <t>PyTorch Lightning and PEFT/LoRA training lab</t>
  </si>
  <si>
    <t>Learn model development without making it an MVP dependency.</t>
  </si>
  <si>
    <t>Approved model/dataset IDs, license and GPU budget</t>
  </si>
  <si>
    <t>ST-002</t>
  </si>
  <si>
    <t>Optional Ansible operations runner</t>
  </si>
  <si>
    <t>Limit Ansible to valid VM/bootstrap cases.</t>
  </si>
  <si>
    <t>SSM dynamic inventory; no SSH keys</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</si>
  <si>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</si>
  <si>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</si>
  <si>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</si>
  <si>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</si>
  <si>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W1-01:W1-12</t>
  </si>
  <si>
    <t>Test and Evidence Register</t>
  </si>
  <si>
    <t>Test ID</t>
  </si>
  <si>
    <t>Type</t>
  </si>
  <si>
    <t>Scope</t>
  </si>
  <si>
    <t>Command</t>
  </si>
  <si>
    <t>Expected Result</t>
  </si>
  <si>
    <t>Evidence Path</t>
  </si>
  <si>
    <t>Status</t>
  </si>
  <si>
    <t>Run Date</t>
  </si>
  <si>
    <t>Actual Result</t>
  </si>
  <si>
    <t>Defect / Follow-up</t>
  </si>
  <si>
    <t>Owner Sign-off</t>
  </si>
  <si>
    <t>T-W1-001</t>
  </si>
  <si>
    <t>Unit</t>
  </si>
  <si>
    <t>Typed config and invalid-value behavior</t>
  </si>
  <si>
    <t>pytest tests/unit/test_config.py -q</t>
  </si>
  <si>
    <t>Pass offline; invalid values fail clearly</t>
  </si>
  <si>
    <t>docs/test-evidence/W1-05-config.txt</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</si>
  <si>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</si>
  <si>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</si>
  <si>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</si>
  <si>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</si>
  <si>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</si>
  <si>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</si>
  <si>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python tools/validate_feature_matrix.py</t>
  </si>
  <si>
    <t>Exit 0; missing required field fails</t>
  </si>
  <si>
    <t>docs/test-evidence/W1-04-feature-matrix.json</t>
  </si>
  <si>
    <t>PASS — feature-matrix validation and consolidated Week 1 validation; implementation commit 210381c3ddbc9aab83ccaeb11a59db8d8dad549b.</t>
  </si>
  <si>
    <t>T-W1-003</t>
  </si>
  <si>
    <t>Security</t>
  </si>
  <si>
    <t>Pre-commit/secret scanning</t>
  </si>
  <si>
    <t>pre-commit run --all-files</t>
  </si>
  <si>
    <t>Source passes; synthetic secret fixture is rejected</t>
  </si>
  <si>
    <t>docs/test-evidence/W1-08-precommit.txt</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</si>
  <si>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</si>
  <si>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</si>
  <si>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</si>
  <si>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</si>
  <si>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</si>
  <si>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pytest tests/teardown -q</t>
  </si>
  <si>
    <t>Unexpected residual fails; KMS exception classified</t>
  </si>
  <si>
    <t>docs/test-evidence/W1-11-cleanup.json</t>
  </si>
  <si>
    <t>PASS — mocked cleanup and consolidated cleanliness validation; implementation commit 210381c3ddbc9aab83ccaeb11a59db8d8dad549b.</t>
  </si>
  <si>
    <t>Canonical evidence reconciled; no AWS, paid API or deployment mutation occurred.</t>
  </si>
  <si>
    <t>T-W2-001</t>
  </si>
  <si>
    <t>Domain model validation</t>
  </si>
  <si>
    <t>pytest tests/unit/test_models.py -q</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</si>
  <si>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</si>
  <si>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</si>
  <si>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</si>
  <si>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</si>
  <si>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</si>
  <si>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</si>
  <si>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</si>
  <si>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</si>
  <si>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</si>
  <si>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</si>
  <si>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</si>
  <si>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pytest tests/unit/test_embedder.py -q</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</si>
  <si>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</si>
  <si>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</si>
  <si>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</si>
  <si>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</si>
  <si>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</si>
  <si>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</si>
  <si>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</si>
  <si>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</si>
  <si>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</si>
  <si>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</si>
  <si>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</si>
  <si>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</si>
  <si>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</si>
  <si>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</si>
  <si>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</si>
  <si>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</si>
  <si>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</si>
  <si>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</si>
  <si>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</si>
  <si>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pytest tests/unit/test_rag_pipeline.py -q</t>
  </si>
  <si>
    <t>Only supplied citations; weak evidence abstains</t>
  </si>
  <si>
    <t>docs/test-evidence/W3-rag.txt</t>
  </si>
  <si>
    <t>T-W3-002</t>
  </si>
  <si>
    <t>Prompt injection and cross-tenant RAG</t>
  </si>
  <si>
    <t>pytest tests/security -q</t>
  </si>
  <si>
    <t>No policy override or unauthorized retrieval</t>
  </si>
  <si>
    <t>docs/test-evidence/W3-security.txt</t>
  </si>
  <si>
    <t>T-W3-003</t>
  </si>
  <si>
    <t>Evaluation</t>
  </si>
  <si>
    <t>Golden-set baseline</t>
  </si>
  <si>
    <t>make evaluate</t>
  </si>
  <si>
    <t>Recall@5 &gt;=0.85; grounded/cited or abstain &gt;=95%</t>
  </si>
  <si>
    <t>reports/eval.json</t>
  </si>
  <si>
    <t>T-W3-004</t>
  </si>
  <si>
    <t>Rollback</t>
  </si>
  <si>
    <t>Prompt/model/retriever rollback</t>
  </si>
  <si>
    <t>make rollback-rag &amp;&amp; make evaluate</t>
  </si>
  <si>
    <t>Last-known-good baseline restored</t>
  </si>
  <si>
    <t>docs/rollback-records/W3-rag.md</t>
  </si>
  <si>
    <t>T-W4-001</t>
  </si>
  <si>
    <t>FastAPI health/query/error mapping</t>
  </si>
  <si>
    <t>pytest tests/unit/test_api.py -q</t>
  </si>
  <si>
    <t>Typed response; controlled errors; no internal leakage</t>
  </si>
  <si>
    <t>docs/test-evidence/W4-api.txt</t>
  </si>
  <si>
    <t>T-W4-002</t>
  </si>
  <si>
    <t>Agent approval and tool schema</t>
  </si>
  <si>
    <t>pytest tests/security/test_agent_approval.py -q</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</si>
  <si>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</si>
  <si>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</si>
  <si>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</si>
  <si>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</si>
  <si>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</si>
  <si>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</si>
  <si>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</si>
  <si>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</si>
  <si>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Observability</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</si>
  <si>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</si>
  <si>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</si>
  <si>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</si>
  <si>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</si>
  <si>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</si>
  <si>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</si>
  <si>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make rollback-release &amp;&amp; make smoke</t>
  </si>
  <si>
    <t>Previous release healthy and feature-valid</t>
  </si>
  <si>
    <t>docs/rollback-records/W4-release.md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</si>
  <si>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</si>
  <si>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</si>
  <si>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</si>
  <si>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</si>
  <si>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</si>
  <si>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</si>
  <si>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</si>
  <si>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</si>
  <si>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</si>
  <si>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</si>
  <si>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</si>
  <si>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</si>
  <si>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</si>
  <si>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</si>
  <si>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make plan-sandbox</t>
  </si>
  <si>
    <t>Only expected resources; no secret values</t>
  </si>
  <si>
    <t>docs/deployment-records/W5-plan-review.md</t>
  </si>
  <si>
    <t>T-W5-004</t>
  </si>
  <si>
    <t>Supply chain</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</si>
  <si>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</si>
  <si>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</si>
  <si>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</si>
  <si>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</si>
  <si>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</si>
  <si>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</si>
  <si>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</si>
  <si>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</si>
  <si>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</si>
  <si>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</si>
  <si>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</si>
  <si>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</si>
  <si>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make plan-destroy-sandbox; owner approve; make destroy-sandbox; make verify-clean</t>
  </si>
  <si>
    <t>No active residual except documented KMS PendingDeletion</t>
  </si>
  <si>
    <t>docs/resource-cleanliness/W5-report.json</t>
  </si>
  <si>
    <t>T-W6-001</t>
  </si>
  <si>
    <t>Kubernetes</t>
  </si>
  <si>
    <t>Manifest/schema/policy validation</t>
  </si>
  <si>
    <t>kubectl apply --dry-run=server -f deploy/k8s</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</si>
  <si>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</si>
  <si>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</si>
  <si>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</si>
  <si>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</si>
  <si>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</si>
  <si>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</si>
  <si>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</si>
  <si>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</si>
  <si>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</si>
  <si>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</si>
  <si>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promtool check rules observability/alerts.yml</t>
  </si>
  <si>
    <t>Rules valid and linked to runbook</t>
  </si>
  <si>
    <t>docs/test-evidence/W6-alerts.txt</t>
  </si>
  <si>
    <t>T-W6-004</t>
  </si>
  <si>
    <t>Chaos</t>
  </si>
  <si>
    <t>Qdrant stop and fake LLM timeout</t>
  </si>
  <si>
    <t>pytest tests/feature/test_failure_modes.py -q</t>
  </si>
  <si>
    <t>Readiness/alerts safe; no retry storm</t>
  </si>
  <si>
    <t>docs/test-evidence/W6-chaos.txt</t>
  </si>
  <si>
    <t>T-W6-005</t>
  </si>
  <si>
    <t>End-to-end sandbox quality</t>
  </si>
  <si>
    <t>make final-proof</t>
  </si>
  <si>
    <t>No material regression; cited response and trace</t>
  </si>
  <si>
    <t>docs/test-evidence/W6-final-index.md</t>
  </si>
  <si>
    <t>T-W6-006</t>
  </si>
  <si>
    <t>EKS release rollback</t>
  </si>
  <si>
    <t>make rollback-release &amp;&amp; make validate-sandbox</t>
  </si>
  <si>
    <t>Previous digest healthy within recorded RTO</t>
  </si>
  <si>
    <t>docs/rollback-records/W6-release.md</t>
  </si>
  <si>
    <t>T-W6-007</t>
  </si>
  <si>
    <t>Full platform/bootstrap teardown and orphan scan</t>
  </si>
  <si>
    <t>No active project resource; state backend removed last</t>
  </si>
  <si>
    <t>docs/resource-cleanliness/W6-final.json</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</si>
  <si>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</si>
  <si>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</si>
  <si>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</si>
  <si>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</si>
  <si>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</si>
  <si>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docs/features/MVP-001.md</t>
  </si>
  <si>
    <t>PASS — MVP-001 scope, starter questions and acceptance criteria reviewed and owner approved.</t>
  </si>
  <si>
    <t>Canonical scope evidence confirmed; implementation commit 210381c3ddbc9aab83ccaeb11a59db8d8dad549b.</t>
  </si>
  <si>
    <t>T-W1-000A</t>
  </si>
  <si>
    <t>Governance</t>
  </si>
  <si>
    <t>ADR-000 source precedence</t>
  </si>
  <si>
    <t>Review docs/adr/ADR-000-source-precedence.md</t>
  </si>
  <si>
    <t>Authority order, conflict rule, three examples, governance-only scope and Proposed status are present</t>
  </si>
  <si>
    <t>docs/adr/ADR-000-source-precedence.md</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</si>
  <si>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</si>
  <si>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</si>
  <si>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</si>
  <si>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</si>
  <si>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 ID</t>
  </si>
  <si>
    <t>Decision</t>
  </si>
  <si>
    <t>Decision Week</t>
  </si>
  <si>
    <t>Rationale</t>
  </si>
  <si>
    <t>Alternatives</t>
  </si>
  <si>
    <t>Trade-offs / Cost / Risk</t>
  </si>
  <si>
    <t>Revisit Trigger</t>
  </si>
  <si>
    <t>ADR Evidence Path</t>
  </si>
  <si>
    <t>Review Notes</t>
  </si>
  <si>
    <t>ADR-001</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</si>
  <si>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</si>
  <si>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</si>
  <si>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</si>
  <si>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</si>
  <si>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</si>
  <si>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</si>
  <si>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User</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</si>
  <si>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</si>
  <si>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</si>
  <si>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</si>
  <si>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</si>
  <si>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</si>
  <si>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</si>
  <si>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</si>
  <si>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</si>
  <si>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</si>
  <si>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</si>
  <si>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</si>
  <si>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</si>
  <si>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</si>
  <si>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</si>
  <si>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</si>
  <si>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</si>
  <si>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</si>
  <si>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</si>
  <si>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</si>
  <si>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</si>
  <si>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</si>
  <si>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</si>
  <si>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</si>
  <si>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</si>
  <si>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</si>
  <si>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</si>
  <si>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</si>
  <si>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</si>
  <si>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</si>
  <si>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</si>
  <si>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</si>
  <si>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</si>
  <si>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</si>
  <si>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</si>
  <si>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</si>
  <si>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</si>
  <si>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</si>
  <si>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</si>
  <si>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</si>
  <si>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</si>
  <si>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</si>
  <si>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</si>
  <si>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</si>
  <si>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ADR-009</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</si>
  <si>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</si>
  <si>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</si>
  <si>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</si>
  <si>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</si>
  <si>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</si>
  <si>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</si>
  <si>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</si>
  <si>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</si>
  <si>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</si>
  <si>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</si>
  <si>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</si>
  <si>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</si>
  <si>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</si>
  <si>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</si>
  <si>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</si>
  <si>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</si>
  <si>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</si>
  <si>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</si>
  <si>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</si>
  <si>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</si>
  <si>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ADR-012</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</si>
  <si>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</si>
  <si>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</si>
  <si>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</si>
  <si>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</si>
  <si>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</si>
  <si>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</si>
  <si>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</si>
  <si>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</si>
  <si>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</si>
  <si>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</si>
  <si>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</si>
  <si>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</si>
  <si>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</si>
  <si>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</si>
  <si>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</si>
  <si>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</si>
  <si>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</si>
  <si>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</si>
  <si>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</si>
  <si>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</si>
  <si>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</si>
  <si>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</si>
  <si>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</si>
  <si>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</si>
  <si>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</si>
  <si>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</si>
  <si>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ADR-016</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</si>
  <si>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</si>
  <si>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</si>
  <si>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</si>
  <si>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</si>
  <si>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</si>
  <si>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</si>
  <si>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ADR-017</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</si>
  <si>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</si>
  <si>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</si>
  <si>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</si>
  <si>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</si>
  <si>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</si>
  <si>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</si>
  <si>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</si>
  <si>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</si>
  <si>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</si>
  <si>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</si>
  <si>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</si>
  <si>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</si>
  <si>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</si>
  <si>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</si>
  <si>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</si>
  <si>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</si>
  <si>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</si>
  <si>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</si>
  <si>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</si>
  <si>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</si>
  <si>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</si>
  <si>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</si>
  <si>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</si>
  <si>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</si>
  <si>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</si>
  <si>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</si>
  <si>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</si>
  <si>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</si>
  <si>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</si>
  <si>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</si>
  <si>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</si>
  <si>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</si>
  <si>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</si>
  <si>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</si>
  <si>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Not Started</t>
  </si>
  <si>
    <t>docs/architecture/data-classification.md</t>
  </si>
  <si>
    <t>DATA-003</t>
  </si>
  <si>
    <t>Privacy</t>
  </si>
  <si>
    <t>Define which PII types are redact, quarantine or allow-with-approval.</t>
  </si>
  <si>
    <t>configs/pii-policy.yaml</t>
  </si>
  <si>
    <t>EVAL-001</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</si>
  <si>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</si>
  <si>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</si>
  <si>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</si>
  <si>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</si>
  <si>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</si>
  <si>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</si>
  <si>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</si>
  <si>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</si>
  <si>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</si>
  <si>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</si>
  <si>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</si>
  <si>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</si>
  <si>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</si>
  <si>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</si>
  <si>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TAG-001</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</si>
  <si>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</si>
  <si>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</si>
  <si>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</si>
  <si>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</si>
  <si>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</si>
  <si>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GHA-001</t>
  </si>
  <si>
    <t>CI/CD</t>
  </si>
  <si>
    <t>Provide GitHub org/repo, protected environment and OIDC role naming.</t>
  </si>
  <si>
    <t>GitHub variables / Terraform inputs</t>
  </si>
  <si>
    <t>BED-001</t>
  </si>
  <si>
    <t>AI platform</t>
  </si>
  <si>
    <t>Select approved Bedrock model ID, region, quota and fallback policy.</t>
  </si>
  <si>
    <t>LLM_MODEL_ID / docs/adr</t>
  </si>
  <si>
    <t>EMB-001</t>
  </si>
  <si>
    <t>Approve sentence-transformer model, dimension and license.</t>
  </si>
  <si>
    <t>SEC-001</t>
  </si>
  <si>
    <t>Define auth provider, claims, tenant mapping and authorization owner.</t>
  </si>
  <si>
    <t>docs/architecture/authorization.md</t>
  </si>
  <si>
    <t>SEC-003</t>
  </si>
  <si>
    <t>DevSecOps</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</si>
  <si>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</si>
  <si>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</si>
  <si>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</si>
  <si>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</si>
  <si>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APP-001</t>
  </si>
  <si>
    <t>Agent control</t>
  </si>
  <si>
    <t>Choose durable approval store, approver role and expiry/rejection policy.</t>
  </si>
  <si>
    <t>docs/architecture/agent-approval.md</t>
  </si>
  <si>
    <t>OBS-001</t>
  </si>
  <si>
    <t>Operations</t>
  </si>
  <si>
    <t>Provide alert destination, on-call owner and telemetry retention.</t>
  </si>
  <si>
    <t>observability/ / runbooks/</t>
  </si>
  <si>
    <t>SLO-001</t>
  </si>
  <si>
    <t>Approve initial SLIs/SLOs, error-budget review cadence and exclusions.</t>
  </si>
  <si>
    <t>docs/architecture/slo.md</t>
  </si>
  <si>
    <t>COST-001</t>
  </si>
  <si>
    <t>Cost</t>
  </si>
  <si>
    <t>Set monthly sandbox ceiling, daily alert and maximum paid-evaluation spend.</t>
  </si>
  <si>
    <t>docs/cost-estimates/budget.md</t>
  </si>
  <si>
    <t>EKS-001</t>
  </si>
  <si>
    <t>Choose existing/new EKS sandbox, namespace, domain/cert and identity method.</t>
  </si>
  <si>
    <t>deploy/k8s/values-sandbox.yaml</t>
  </si>
  <si>
    <t>RET-001</t>
  </si>
  <si>
    <t>Define logs/traces/evaluation/approval evidence retention and redaction.</t>
  </si>
  <si>
    <t>docs/architecture/retention.md</t>
  </si>
  <si>
    <t>FIS-001</t>
  </si>
  <si>
    <t>Approve pre-production-only FIS targets, stop alarms, window and owner.</t>
  </si>
  <si>
    <t>docs/chaos/fis-plan.md</t>
  </si>
  <si>
    <t>DEST-001</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</si>
  <si>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</si>
  <si>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</si>
  <si>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</si>
  <si>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</si>
  <si>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</si>
  <si>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</si>
  <si>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</si>
  <si>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RAG-001</t>
  </si>
  <si>
    <t>Retrieval</t>
  </si>
  <si>
    <t>Approve top_k, minimum score and maximum context budget after baseline tests.</t>
  </si>
  <si>
    <t>configs/rag.yaml</t>
  </si>
  <si>
    <t>Deploy, Rollback and Teardown Control</t>
  </si>
  <si>
    <t>Three distinct operations</t>
  </si>
  <si>
    <t>Operation</t>
  </si>
  <si>
    <t>Trigger</t>
  </si>
  <si>
    <t>Required outcome</t>
  </si>
  <si>
    <t>Boundary</t>
  </si>
  <si>
    <t>Mode</t>
  </si>
  <si>
    <t>Environment</t>
  </si>
  <si>
    <t>Behavior</t>
  </si>
  <si>
    <t>Approval</t>
  </si>
  <si>
    <t>Release rollback</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</si>
  <si>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</si>
  <si>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</si>
  <si>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</si>
  <si>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</si>
  <si>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</si>
  <si>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</si>
  <si>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</si>
  <si>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</si>
  <si>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</si>
  <si>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</si>
  <si>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</si>
  <si>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</si>
  <si>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</si>
  <si>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</si>
  <si>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</si>
  <si>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</si>
  <si>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</si>
  <si>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</si>
  <si>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</si>
  <si>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</si>
  <si>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</si>
  <si>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</si>
  <si>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Order</t>
  </si>
  <si>
    <t>Action</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</si>
  <si>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</si>
  <si>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</si>
  <si>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</si>
  <si>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</si>
  <si>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</si>
  <si>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</si>
  <si>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</si>
  <si>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</si>
  <si>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</si>
  <si>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</si>
  <si>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</si>
  <si>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</si>
  <si>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</si>
  <si>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</si>
  <si>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</si>
  <si>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</si>
  <si>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</si>
  <si>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</si>
  <si>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</si>
  <si>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</si>
  <si>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</si>
  <si>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</si>
  <si>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</si>
  <si>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</si>
  <si>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</si>
  <si>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</si>
  <si>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</si>
  <si>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</si>
  <si>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</si>
  <si>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</si>
  <si>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</si>
  <si>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</si>
  <si>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</si>
  <si>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</si>
  <si>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</si>
  <si>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</si>
  <si>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</si>
  <si>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</si>
  <si>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</si>
  <si>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</si>
  <si>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</si>
  <si>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</si>
  <si>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</si>
  <si>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</si>
  <si>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</si>
  <si>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</si>
  <si>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</si>
  <si>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</si>
  <si>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</si>
  <si>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</si>
  <si>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</si>
  <si>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</si>
  <si>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</si>
  <si>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</si>
  <si>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</si>
  <si>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</si>
  <si>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Priority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</si>
  <si>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</si>
  <si>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</si>
  <si>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</si>
  <si>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</si>
  <si>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</si>
  <si>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</si>
  <si>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</si>
  <si>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</si>
  <si>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</si>
  <si>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</si>
  <si>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</si>
  <si>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</si>
  <si>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</si>
  <si>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</si>
  <si>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</si>
  <si>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</si>
  <si>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</si>
  <si>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</si>
  <si>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</si>
  <si>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</si>
  <si>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</si>
  <si>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</si>
  <si>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</si>
  <si>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</si>
  <si>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</si>
  <si>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</si>
  <si>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</si>
  <si>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</si>
  <si>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</si>
  <si>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MUST</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</si>
  <si>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</si>
  <si>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</si>
  <si>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</si>
  <si>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</si>
  <si>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</si>
  <si>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</si>
  <si>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</si>
  <si>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</si>
  <si>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</si>
  <si>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</si>
  <si>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</si>
  <si>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</si>
  <si>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</si>
  <si>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</si>
  <si>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</si>
  <si>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</si>
  <si>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</si>
  <si>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</si>
  <si>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</si>
  <si>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</si>
  <si>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</si>
  <si>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</si>
  <si>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</si>
  <si>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</si>
  <si>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</si>
  <si>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</si>
  <si>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</si>
  <si>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</si>
  <si>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</si>
  <si>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</si>
  <si>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</si>
  <si>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</si>
  <si>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</si>
  <si>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Guardrails</t>
  </si>
  <si>
    <t>Deterministic validators and prompt templates</t>
  </si>
  <si>
    <t>Authorization, citations, abstention, schemas and allowlists.</t>
  </si>
  <si>
    <t>None; mandatory foundation.</t>
  </si>
  <si>
    <t>Low platform cost.</t>
  </si>
  <si>
    <t>Guardrails AI</t>
  </si>
  <si>
    <t>SHOULD</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</si>
  <si>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</si>
  <si>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</si>
  <si>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</si>
  <si>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</si>
  <si>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</si>
  <si>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</si>
  <si>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</si>
  <si>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</si>
  <si>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</si>
  <si>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</si>
  <si>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</si>
  <si>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</si>
  <si>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</si>
  <si>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</si>
  <si>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</si>
  <si>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</si>
  <si>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</si>
  <si>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</si>
  <si>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</si>
  <si>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</si>
  <si>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</si>
  <si>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</si>
  <si>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</si>
  <si>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</si>
  <si>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</si>
  <si>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</si>
  <si>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</si>
  <si>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</si>
  <si>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</si>
  <si>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</si>
  <si>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</si>
  <si>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</si>
  <si>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</si>
  <si>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</si>
  <si>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</si>
  <si>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</si>
  <si>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</si>
  <si>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</si>
  <si>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</si>
  <si>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</si>
  <si>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</si>
  <si>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</si>
  <si>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</si>
  <si>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</si>
  <si>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</si>
  <si>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</si>
  <si>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</si>
  <si>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</si>
  <si>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</si>
  <si>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</si>
  <si>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</si>
  <si>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</si>
  <si>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</si>
  <si>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</si>
  <si>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</si>
  <si>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</si>
  <si>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</si>
  <si>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</si>
  <si>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Embeddings</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</si>
  <si>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</si>
  <si>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</si>
  <si>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</si>
  <si>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</si>
  <si>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</si>
  <si>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</si>
  <si>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</si>
  <si>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</si>
  <si>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</si>
  <si>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</si>
  <si>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</si>
  <si>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</si>
  <si>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</si>
  <si>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</si>
  <si>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</si>
  <si>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</si>
  <si>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</si>
  <si>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</si>
  <si>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</si>
  <si>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</si>
  <si>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</si>
  <si>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</si>
  <si>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</si>
  <si>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</si>
  <si>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</si>
  <si>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</si>
  <si>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</si>
  <si>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</si>
  <si>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</si>
  <si>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</si>
  <si>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</si>
  <si>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</si>
  <si>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</si>
  <si>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</si>
  <si>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</si>
  <si>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</si>
  <si>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</si>
  <si>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</si>
  <si>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</si>
  <si>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</si>
  <si>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</si>
  <si>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</si>
  <si>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</si>
  <si>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</si>
  <si>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</si>
  <si>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</si>
  <si>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</si>
  <si>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</si>
  <si>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</si>
  <si>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</si>
  <si>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</si>
  <si>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</si>
  <si>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</si>
  <si>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</si>
  <si>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</si>
  <si>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</si>
  <si>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</si>
  <si>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</si>
  <si>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</si>
  <si>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</si>
  <si>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</si>
  <si>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</si>
  <si>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</si>
  <si>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</si>
  <si>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</si>
  <si>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</si>
  <si>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</si>
  <si>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</si>
  <si>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</si>
  <si>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</si>
  <si>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</si>
  <si>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</si>
  <si>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</si>
  <si>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</si>
  <si>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</si>
  <si>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</si>
  <si>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</si>
  <si>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</si>
  <si>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</si>
  <si>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</si>
  <si>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</si>
  <si>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</si>
  <si>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</si>
  <si>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</si>
  <si>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</si>
  <si>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</si>
  <si>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</si>
  <si>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</si>
  <si>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</si>
  <si>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</si>
  <si>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</si>
  <si>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</si>
  <si>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</si>
  <si>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</si>
  <si>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</si>
  <si>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</si>
  <si>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</si>
  <si>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</si>
  <si>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</si>
  <si>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</si>
  <si>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</si>
  <si>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</si>
  <si>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</si>
  <si>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</si>
  <si>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</si>
  <si>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</si>
  <si>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</si>
  <si>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</si>
  <si>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</si>
  <si>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</si>
  <si>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</si>
  <si>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</si>
  <si>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</si>
  <si>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</si>
  <si>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</si>
  <si>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</si>
  <si>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</si>
  <si>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</si>
  <si>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</si>
  <si>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</si>
  <si>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</si>
  <si>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</si>
  <si>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</si>
  <si>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</si>
  <si>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</si>
  <si>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</si>
  <si>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</si>
  <si>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</si>
  <si>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</si>
  <si>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</si>
  <si>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</si>
  <si>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</si>
  <si>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</si>
  <si>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</si>
  <si>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</si>
  <si>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</si>
  <si>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</si>
  <si>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</si>
  <si>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</si>
  <si>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</si>
  <si>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</si>
  <si>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</si>
  <si>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</si>
  <si>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</si>
  <si>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</si>
  <si>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</si>
  <si>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</si>
  <si>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</si>
  <si>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</si>
  <si>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</si>
  <si>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</si>
  <si>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</si>
  <si>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</si>
  <si>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</si>
  <si>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</si>
  <si>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</si>
  <si>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</si>
  <si>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</si>
  <si>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</si>
  <si>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</si>
  <si>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</si>
  <si>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</si>
  <si>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</si>
  <si>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</si>
  <si>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</si>
  <si>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</si>
  <si>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</si>
  <si>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</si>
  <si>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</si>
  <si>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</si>
  <si>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</si>
  <si>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</si>
  <si>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</si>
  <si>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</si>
  <si>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</si>
  <si>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</si>
  <si>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</si>
  <si>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</si>
  <si>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</si>
  <si>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</si>
  <si>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</si>
  <si>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</si>
  <si>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</si>
  <si>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</si>
  <si>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</si>
  <si>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</si>
  <si>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</si>
  <si>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</si>
  <si>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</si>
  <si>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</si>
  <si>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</si>
  <si>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</si>
  <si>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</si>
  <si>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</si>
  <si>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</si>
  <si>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</si>
  <si>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</si>
  <si>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</si>
  <si>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</si>
  <si>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</si>
  <si>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</si>
  <si>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</si>
  <si>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</si>
  <si>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</si>
  <si>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</si>
  <si>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</si>
  <si>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</si>
  <si>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</si>
  <si>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</si>
  <si>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</si>
  <si>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</si>
  <si>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</si>
  <si>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</si>
  <si>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</si>
  <si>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</si>
  <si>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</si>
  <si>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</si>
  <si>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</si>
  <si>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Ingestion</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</si>
  <si>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</si>
  <si>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</si>
  <si>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</si>
  <si>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</si>
  <si>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</si>
  <si>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</si>
  <si>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</si>
  <si>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</si>
  <si>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</si>
  <si>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</si>
  <si>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</si>
  <si>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</si>
  <si>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</si>
  <si>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</si>
  <si>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</si>
  <si>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</si>
  <si>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</si>
  <si>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</si>
  <si>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</si>
  <si>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</si>
  <si>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</si>
  <si>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</si>
  <si>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</si>
  <si>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</si>
  <si>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</si>
  <si>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</si>
  <si>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</si>
  <si>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</si>
  <si>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</si>
  <si>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</si>
  <si>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</si>
  <si>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</si>
  <si>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</si>
  <si>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</si>
  <si>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</si>
  <si>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</si>
  <si>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</si>
  <si>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</si>
  <si>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</si>
  <si>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</si>
  <si>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</si>
  <si>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</si>
  <si>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</si>
  <si>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</si>
  <si>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</si>
  <si>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</si>
  <si>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</si>
  <si>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</si>
  <si>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</si>
  <si>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</si>
  <si>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</si>
  <si>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</si>
  <si>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Telemetry</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</si>
  <si>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</si>
  <si>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</si>
  <si>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</si>
  <si>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</si>
  <si>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</si>
  <si>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</si>
  <si>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</si>
  <si>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</si>
  <si>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</si>
  <si>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</si>
  <si>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</si>
  <si>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</si>
  <si>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</si>
  <si>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</si>
  <si>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</si>
  <si>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</si>
  <si>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</si>
  <si>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</si>
  <si>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</si>
  <si>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</si>
  <si>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</si>
  <si>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</si>
  <si>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</si>
  <si>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</si>
  <si>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</si>
  <si>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</si>
  <si>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</si>
  <si>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</si>
  <si>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</si>
  <si>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</si>
  <si>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</si>
  <si>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</si>
  <si>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</si>
  <si>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</si>
  <si>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</si>
  <si>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</si>
  <si>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</si>
  <si>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</si>
  <si>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</si>
  <si>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</si>
  <si>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</si>
  <si>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</si>
  <si>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</si>
  <si>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</si>
  <si>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</si>
  <si>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</si>
  <si>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</si>
  <si>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</si>
  <si>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</si>
  <si>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</si>
  <si>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</si>
  <si>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</si>
  <si>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</si>
  <si>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</si>
  <si>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Enterprise AI Architecture — Owner-Led Learning and Execution Tracker v1.3.0</t>
  </si>
  <si>
    <t>Objective: learn the business architecture, implementation decisions, testing, deployment, remediation and end-to-end flow. Codex writes approved code; the owner executes commands and owns every decision.</t>
  </si>
  <si>
    <t>Review dashboard and owner inputs</t>
  </si>
  <si>
    <t>Choose restart or resume later; preserve historical status until you decide.</t>
  </si>
  <si>
    <t>Paste CTX-001 and CTRL-001</t>
  </si>
  <si>
    <t>Set the architecture context and the code-only/owner-execution boundary.</t>
  </si>
  <si>
    <t>Paste one Main Prompt</t>
  </si>
  <si>
    <t>Codex reviews scope, context, decisions, exact code paths and owner-run validation; no edits yet.</t>
  </si>
  <si>
    <t>Review the pre-edit plan</t>
  </si>
  <si>
    <t>Confirm business purpose, architecture fit, trade-offs, access, testing, deployment, rollback and cost.</t>
  </si>
  <si>
    <t>Codex writes code; the owner runs every test, deployment, rollback, teardown and access-sensitive command.</t>
  </si>
  <si>
    <t>Paste Code Edit Approval</t>
  </si>
  <si>
    <t>Use Column L. Codex writes approved code/configuration/test code only and runs nothing.</t>
  </si>
  <si>
    <t>A failure produces diagnosis and one owner command at a time; source fixes require a new Code Edit Approval.</t>
  </si>
  <si>
    <t>Receive code and owner guide</t>
  </si>
  <si>
    <t>Codex provides changed paths, test/deployment commands, remediation guidance and interview learning summary.</t>
  </si>
  <si>
    <t>Documentation is a separate approved stage and must state business value in clear wording.</t>
  </si>
  <si>
    <t>Run owner-led testing/deployment</t>
  </si>
  <si>
    <t>Use TEST-001. You run one command at a time; Codex explains results and guides failures without executing fixes.</t>
  </si>
  <si>
    <t>Final approval follows owner testing and document review; Codex never self-approves.</t>
  </si>
  <si>
    <t>Paste Document Writing Approval</t>
  </si>
  <si>
    <t>Use Column M after owner testing. Codex writes only approved business-first documentation/evidence.</t>
  </si>
  <si>
    <t>Weekly learning is mandatory before progressing: business story, technical deep-dive, layman analogy and interview teach-back.</t>
  </si>
  <si>
    <t>Paste Final Approval After Test</t>
  </si>
  <si>
    <t>Use Column N only after you review owner-executed results, documentation, rollback/cleanup and learning summary.</t>
  </si>
  <si>
    <t>Update tracker and learn the week</t>
  </si>
  <si>
    <t>You update status/evidence, complete the weekly checkpoint, then run the mandatory WEEKLY-LEARN-001 teach-back task.</t>
  </si>
  <si>
    <t>Restart / resume decision</t>
  </si>
  <si>
    <t>Pending owner decision</t>
  </si>
  <si>
    <t>Source precedence remains unchanged. This version changes execution ownership and learning controls only: Codex writes approved code; the owner tests, deploys, remediates and approves.</t>
  </si>
  <si>
    <t>All KPIs are formula-driven from tracker sheets. Historical status is preserved; the owner executes tests/deployments and updates source records after final approval.</t>
  </si>
  <si>
    <t>IN PROGRESS: Codex writes approved code only; the owner follows TEST-001 guidance and returns each command result.</t>
  </si>
  <si>
    <t>Done requires owner-executed validation, approved business-first documentation, rollback/teardown evidence and final owner approval.</t>
  </si>
  <si>
    <t>Master Six-Week Owner-Led Learning Plan — v1.3.0</t>
  </si>
  <si>
    <t>Historical status is preserved. Codex writes approved code only; the owner executes verification/deployment and completes the weekly learning gate.</t>
  </si>
  <si>
    <t>Step ID</t>
  </si>
  <si>
    <t>Seq</t>
  </si>
  <si>
    <t>Workstream</t>
  </si>
  <si>
    <t>Task / Outcome</t>
  </si>
  <si>
    <t>Why It Matters</t>
  </si>
  <si>
    <t>Effort (h)</t>
  </si>
  <si>
    <t>User TODO IDs</t>
  </si>
  <si>
    <t>Acceptance Criteria</t>
  </si>
  <si>
    <t>Owner Verification Command</t>
  </si>
  <si>
    <t>Dependency</t>
  </si>
  <si>
    <t>Rollback / Teardown</t>
  </si>
  <si>
    <t>Notes</t>
  </si>
  <si>
    <t>Task Context</t>
  </si>
  <si>
    <t>Confirm the first use case, user group, exclusions and measurable MVP outcome.</t>
  </si>
  <si>
    <t>A narrow use case prevents a platform-without-a-problem and sets evaluation truth.</t>
  </si>
  <si>
    <t>USE-001, DATA-001, EVAL-001</t>
  </si>
  <si>
    <t>One approved one-page scope and 5 representative questions.</t>
  </si>
  <si>
    <t>Owner review of docs/features/MVP-001.md</t>
  </si>
  <si>
    <t>Scope, exclusions and success measures approved.</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</si>
  <si>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</si>
  <si>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</si>
  <si>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</si>
  <si>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</si>
  <si>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</si>
  <si>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</si>
  <si>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</si>
  <si>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</si>
  <si>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v1.1 is named implementation authority.</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</si>
  <si>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</si>
  <si>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</si>
  <si>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</si>
  <si>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</si>
  <si>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</si>
  <si>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</si>
  <si>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</si>
  <si>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</si>
  <si>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</si>
  <si>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</si>
  <si>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</si>
  <si>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</si>
  <si>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</si>
  <si>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</si>
  <si>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</si>
  <si>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</si>
  <si>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</si>
  <si>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</si>
  <si>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</si>
  <si>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</si>
  <si>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</si>
  <si>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Validation exits 0; missing required fields fail.</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</si>
  <si>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</si>
  <si>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</si>
  <si>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</si>
  <si>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</si>
  <si>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</si>
  <si>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</si>
  <si>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</si>
  <si>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pip install -r requirements.txt &amp;&amp; pytest tests/unit/test_config.py -q</t>
  </si>
  <si>
    <t>No paid/network dependency in unit tests; TODOs remain non-secret.</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</si>
  <si>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</si>
  <si>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</si>
  <si>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</si>
  <si>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</si>
  <si>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</si>
  <si>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</si>
  <si>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</si>
  <si>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</si>
  <si>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</si>
  <si>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</si>
  <si>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</si>
  <si>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</si>
  <si>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</si>
  <si>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</si>
  <si>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</si>
  <si>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</si>
  <si>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</si>
  <si>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</si>
  <si>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</si>
  <si>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</si>
  <si>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</si>
  <si>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</si>
  <si>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</si>
  <si>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</si>
  <si>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</si>
  <si>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Add pre-commit formatting, linting and secret scanning baseline.</t>
  </si>
  <si>
    <t>Shift-left checks stop secrets and poor-quality changes before PR.</t>
  </si>
  <si>
    <t>Insecure secret fixture is blocked without committing a real secret.</t>
  </si>
  <si>
    <t>All checks pass on source; synthetic fixture produces expected failure.</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</si>
  <si>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</si>
  <si>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</si>
  <si>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</si>
  <si>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</si>
  <si>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</si>
  <si>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</si>
  <si>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</si>
  <si>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</si>
  <si>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</si>
  <si>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</si>
  <si>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</si>
  <si>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</si>
  <si>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</si>
  <si>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</si>
  <si>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</si>
  <si>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</si>
  <si>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</si>
  <si>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</si>
  <si>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</si>
  <si>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</si>
  <si>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</si>
  <si>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</si>
  <si>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</si>
  <si>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</si>
  <si>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</si>
  <si>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</si>
  <si>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</si>
  <si>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</si>
  <si>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</si>
  <si>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</si>
  <si>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</si>
  <si>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</si>
  <si>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Expected pass/fail matrix is recorded.</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</si>
  <si>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</si>
  <si>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</si>
  <si>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</si>
  <si>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</si>
  <si>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</si>
  <si>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</si>
  <si>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</si>
  <si>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</si>
  <si>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</si>
  <si>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</si>
  <si>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</si>
  <si>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</si>
  <si>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</si>
  <si>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</si>
  <si>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210381c3ddbc9aab83ccaeb11a59db8d8dad549b.</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</si>
  <si>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</si>
  <si>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</si>
  <si>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</si>
  <si>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</si>
  <si>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</si>
  <si>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</si>
  <si>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</si>
  <si>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teach-back; no command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</si>
  <si>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</si>
  <si>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</si>
  <si>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</si>
  <si>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</si>
  <si>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</si>
  <si>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</si>
  <si>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</si>
  <si>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</si>
  <si>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</si>
  <si>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</si>
  <si>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</si>
  <si>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</si>
  <si>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</si>
  <si>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</si>
  <si>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</si>
  <si>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</si>
  <si>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</si>
  <si>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</si>
  <si>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</si>
  <si>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</si>
  <si>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</si>
  <si>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</si>
  <si>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</si>
  <si>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</si>
  <si>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</si>
  <si>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</si>
  <si>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</si>
  <si>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</si>
  <si>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</si>
  <si>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</si>
  <si>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</si>
  <si>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docker compose up -d qdrant &amp;&amp; docker compose ps</t>
  </si>
  <si>
    <t>Service is healthy; image version is pinned.</t>
  </si>
  <si>
    <t>docs/test-evidence/W2-03-qdrant.txt</t>
  </si>
  <si>
    <t>docker compose down -v; verify no project volume/network.</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</si>
  <si>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</si>
  <si>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</si>
  <si>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</si>
  <si>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</si>
  <si>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</si>
  <si>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</si>
  <si>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</si>
  <si>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</si>
  <si>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</si>
  <si>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</si>
  <si>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</si>
  <si>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</si>
  <si>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</si>
  <si>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Implement sentence-transformer and deterministic fake embedders.</t>
  </si>
  <si>
    <t>Local CPU embeddings avoid a paid dependency while preserving provider exit.</t>
  </si>
  <si>
    <t>Batch, normalization and dimension mismatch tests pass.</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</si>
  <si>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</si>
  <si>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</si>
  <si>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</si>
  <si>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</si>
  <si>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</si>
  <si>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</si>
  <si>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</si>
  <si>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</si>
  <si>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</si>
  <si>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</si>
  <si>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</si>
  <si>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</si>
  <si>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</si>
  <si>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</si>
  <si>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</si>
  <si>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</si>
  <si>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Add replaceable Presidio PII detection/redaction hook.</t>
  </si>
  <si>
    <t>PII handling belongs before indexing and telemetry.</t>
  </si>
  <si>
    <t>Configured PII is redacted/quarantined and never appears in evidence logs.</t>
  </si>
  <si>
    <t>pytest tests/security/test_pii.py -q</t>
  </si>
  <si>
    <t>Synthetic PII fixture is handled as policy states.</t>
  </si>
  <si>
    <t>docs/test-evidence/W2-07-pii.txt</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</si>
  <si>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</si>
  <si>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</si>
  <si>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</si>
  <si>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</si>
  <si>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</si>
  <si>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</si>
  <si>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</si>
  <si>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</si>
  <si>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</si>
  <si>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</si>
  <si>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</si>
  <si>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</si>
  <si>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</si>
  <si>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</si>
  <si>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</si>
  <si>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</si>
  <si>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</si>
  <si>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</si>
  <si>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</si>
  <si>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</si>
  <si>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</si>
  <si>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</si>
  <si>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</si>
  <si>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</si>
  <si>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</si>
  <si>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</si>
  <si>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</si>
  <si>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</si>
  <si>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</si>
  <si>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</si>
  <si>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</si>
  <si>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</si>
  <si>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</si>
  <si>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</si>
  <si>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</si>
  <si>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Learning checkpoint</t>
  </si>
  <si>
    <t>Explain embeddings, cosine similarity, chunk size/overlap and metadata filtering.</t>
  </si>
  <si>
    <t>The workbook is also an interview/reference learning plan.</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</si>
  <si>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</si>
  <si>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</si>
  <si>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</si>
  <si>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</si>
  <si>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</si>
  <si>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</si>
  <si>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</si>
  <si>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</si>
  <si>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</si>
  <si>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</si>
  <si>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</si>
  <si>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</si>
  <si>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</si>
  <si>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</si>
  <si>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</si>
  <si>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</si>
  <si>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</si>
  <si>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</si>
  <si>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</si>
  <si>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</si>
  <si>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</si>
  <si>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</si>
  <si>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</si>
  <si>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</si>
  <si>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</si>
  <si>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</si>
  <si>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</si>
  <si>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</si>
  <si>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</si>
  <si>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</si>
  <si>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</si>
  <si>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</si>
  <si>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</si>
  <si>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</si>
  <si>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</si>
  <si>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</si>
  <si>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</si>
  <si>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</si>
  <si>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</si>
  <si>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</si>
  <si>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</si>
  <si>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</si>
  <si>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</si>
  <si>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</si>
  <si>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</si>
  <si>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</si>
  <si>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</si>
  <si>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</si>
  <si>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</si>
  <si>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</si>
  <si>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</si>
  <si>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</si>
  <si>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</si>
  <si>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</si>
  <si>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</si>
  <si>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</si>
  <si>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</si>
  <si>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</si>
  <si>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</si>
  <si>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</si>
  <si>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</si>
  <si>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Structured Answer contains only supplied source IDs.</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</si>
  <si>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</si>
  <si>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</si>
  <si>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</si>
  <si>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</si>
  <si>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</si>
  <si>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</si>
  <si>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</si>
  <si>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</si>
  <si>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</si>
  <si>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</si>
  <si>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</si>
  <si>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</si>
  <si>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</si>
  <si>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</si>
  <si>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</si>
  <si>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</si>
  <si>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</si>
  <si>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</si>
  <si>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</si>
  <si>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</si>
  <si>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</si>
  <si>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</si>
  <si>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</si>
  <si>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</si>
  <si>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</si>
  <si>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</si>
  <si>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</si>
  <si>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</si>
  <si>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</si>
  <si>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</si>
  <si>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Baseline report and nonzero regression exit behavior exist.</t>
  </si>
  <si>
    <t>python -m enterprise_ai.evaluation.run --dataset configs/eval/golden.jsonl --out reports/eval.json</t>
  </si>
  <si>
    <t>Recall@5, citation precision, groundedness, latency and estimated cost recorded.</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</si>
  <si>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</si>
  <si>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</si>
  <si>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</si>
  <si>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</si>
  <si>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</si>
  <si>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</si>
  <si>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</si>
  <si>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</si>
  <si>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</si>
  <si>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</si>
  <si>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</si>
  <si>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</si>
  <si>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</si>
  <si>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Record retrieval/model/token/guardrail metrics without content.</t>
  </si>
  <si>
    <t>Stage-level data explains latency, errors and cost.</t>
  </si>
  <si>
    <t>Metrics include versions/outcomes and exclude prompt/document text.</t>
  </si>
  <si>
    <t>pytest tests/unit/test_telemetry.py -q</t>
  </si>
  <si>
    <t>Redaction tests pass; metrics names are documented.</t>
  </si>
  <si>
    <t>docs/test-evidence/W3-09-telemetry.txt</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</si>
  <si>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</si>
  <si>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</si>
  <si>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</si>
  <si>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</si>
  <si>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</si>
  <si>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</si>
  <si>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CI-style command fails on a material regression.</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</si>
  <si>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</si>
  <si>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</si>
  <si>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</si>
  <si>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</si>
  <si>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</si>
  <si>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</si>
  <si>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</si>
  <si>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</si>
  <si>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Rollback record identifies versions and post-rollback metrics.</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</si>
  <si>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</si>
  <si>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</si>
  <si>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</si>
  <si>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</si>
  <si>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</si>
  <si>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</si>
  <si>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</si>
  <si>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</si>
  <si>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</si>
  <si>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</si>
  <si>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</si>
  <si>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</si>
  <si>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</si>
  <si>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</si>
  <si>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</si>
  <si>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</si>
  <si>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</si>
  <si>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</si>
  <si>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</si>
  <si>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</si>
  <si>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</si>
  <si>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</si>
  <si>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</si>
  <si>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</si>
  <si>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</si>
  <si>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Health and fake query tests pass; no internal prompt/error leak.</t>
  </si>
  <si>
    <t>docs/test-evidence/W4-01-api.txt</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</si>
  <si>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</si>
  <si>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</si>
  <si>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</si>
  <si>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</si>
  <si>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</si>
  <si>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</si>
  <si>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</si>
  <si>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</si>
  <si>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</si>
  <si>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</si>
  <si>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</si>
  <si>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</si>
  <si>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</si>
  <si>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</si>
  <si>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</si>
  <si>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</si>
  <si>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</si>
  <si>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</si>
  <si>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</si>
  <si>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</si>
  <si>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</si>
  <si>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</si>
  <si>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</si>
  <si>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</si>
  <si>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</si>
  <si>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</si>
  <si>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</si>
  <si>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</si>
  <si>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</si>
  <si>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</si>
  <si>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</si>
  <si>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</si>
  <si>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</si>
  <si>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</si>
  <si>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</si>
  <si>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</si>
  <si>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100% write executions have valid approval and idempotency key.</t>
  </si>
  <si>
    <t>docs/test-evidence/W4-05-approval.txt</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</si>
  <si>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</si>
  <si>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</si>
  <si>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</si>
  <si>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</si>
  <si>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</si>
  <si>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</si>
  <si>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</si>
  <si>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</si>
  <si>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</si>
  <si>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</si>
  <si>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</si>
  <si>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</si>
  <si>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</si>
  <si>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</si>
  <si>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</si>
  <si>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</si>
  <si>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</si>
  <si>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</si>
  <si>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</si>
  <si>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</si>
  <si>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</si>
  <si>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</si>
  <si>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</si>
  <si>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</si>
  <si>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</si>
  <si>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</si>
  <si>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</si>
  <si>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</si>
  <si>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</si>
  <si>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</si>
  <si>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</si>
  <si>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</si>
  <si>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</si>
  <si>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</si>
  <si>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</si>
  <si>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</si>
  <si>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</si>
  <si>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</si>
  <si>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</si>
  <si>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</si>
  <si>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</si>
  <si>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</si>
  <si>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</si>
  <si>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</si>
  <si>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</si>
  <si>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</si>
  <si>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</si>
  <si>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</si>
  <si>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</si>
  <si>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</si>
  <si>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</si>
  <si>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</si>
  <si>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</si>
  <si>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</si>
  <si>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</si>
  <si>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</si>
  <si>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</si>
  <si>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Deploy local immutable version N+1, force regression and restore N.</t>
  </si>
  <si>
    <t>Release rollback is separate from infrastructure rollback.</t>
  </si>
  <si>
    <t>N becomes healthy and passes feature tests after rollback.</t>
  </si>
  <si>
    <t>Rollback duration and health evidence recorded.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</si>
  <si>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</si>
  <si>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</si>
  <si>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</si>
  <si>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</si>
  <si>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</si>
  <si>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</si>
  <si>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</si>
  <si>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</si>
  <si>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</si>
  <si>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</si>
  <si>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</si>
  <si>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</si>
  <si>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</si>
  <si>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</si>
  <si>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</si>
  <si>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</si>
  <si>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</si>
  <si>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</si>
  <si>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</si>
  <si>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</si>
  <si>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</si>
  <si>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</si>
  <si>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</si>
  <si>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</si>
  <si>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</si>
  <si>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</si>
  <si>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</si>
  <si>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</si>
  <si>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</si>
  <si>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</si>
  <si>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</si>
  <si>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</si>
  <si>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</si>
  <si>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</si>
  <si>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</si>
  <si>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</si>
  <si>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</si>
  <si>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</si>
  <si>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</si>
  <si>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</si>
  <si>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</si>
  <si>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</si>
  <si>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</si>
  <si>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</si>
  <si>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</si>
  <si>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</si>
  <si>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</si>
  <si>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</si>
  <si>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</si>
  <si>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</si>
  <si>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</si>
  <si>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</si>
  <si>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</si>
  <si>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</si>
  <si>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</si>
  <si>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</si>
  <si>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</si>
  <si>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</si>
  <si>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</si>
  <si>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</si>
  <si>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</si>
  <si>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</si>
  <si>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</si>
  <si>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</si>
  <si>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</si>
  <si>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</si>
  <si>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</si>
  <si>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</si>
  <si>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</si>
  <si>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</si>
  <si>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</si>
  <si>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</si>
  <si>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</si>
  <si>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</si>
  <si>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</si>
  <si>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</si>
  <si>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</si>
  <si>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</si>
  <si>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</si>
  <si>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</si>
  <si>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</si>
  <si>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</si>
  <si>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</si>
  <si>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</si>
  <si>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</si>
  <si>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</si>
  <si>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</si>
  <si>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</si>
  <si>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</si>
  <si>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</si>
  <si>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</si>
  <si>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</si>
  <si>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</si>
  <si>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Create PR CI and Terraform-plan workflow using GitHub OIDC.</t>
  </si>
  <si>
    <t>Automated gates and short-lived identity reduce change and credential risk.</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</si>
  <si>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</si>
  <si>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</si>
  <si>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</si>
  <si>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</si>
  <si>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</si>
  <si>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</si>
  <si>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</si>
  <si>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</si>
  <si>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</si>
  <si>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</si>
  <si>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</si>
  <si>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</si>
  <si>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</si>
  <si>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</si>
  <si>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</si>
  <si>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</si>
  <si>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</si>
  <si>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</si>
  <si>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</si>
  <si>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</si>
  <si>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</si>
  <si>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Summary lists creates/updates/deletes, costs and residual risks.</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</si>
  <si>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</si>
  <si>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</si>
  <si>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</si>
  <si>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</si>
  <si>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</si>
  <si>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</si>
  <si>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</si>
  <si>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</si>
  <si>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</si>
  <si>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</si>
  <si>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</si>
  <si>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</si>
  <si>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</si>
  <si>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</si>
  <si>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</si>
  <si>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</si>
  <si>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</si>
  <si>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</si>
  <si>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</si>
  <si>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</si>
  <si>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</si>
  <si>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</si>
  <si>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</si>
  <si>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</si>
  <si>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</si>
  <si>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</si>
  <si>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</si>
  <si>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</si>
  <si>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</si>
  <si>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</si>
  <si>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</si>
  <si>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</si>
  <si>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</si>
  <si>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</si>
  <si>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</si>
  <si>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</si>
  <si>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</si>
  <si>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</si>
  <si>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</si>
  <si>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</si>
  <si>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</si>
  <si>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</si>
  <si>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</si>
  <si>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</si>
  <si>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</si>
  <si>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</si>
  <si>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</si>
  <si>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</si>
  <si>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</si>
  <si>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</si>
  <si>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</si>
  <si>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</si>
  <si>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</si>
  <si>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</si>
  <si>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</si>
  <si>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</si>
  <si>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</si>
  <si>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</si>
  <si>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</si>
  <si>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</si>
  <si>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</si>
  <si>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</si>
  <si>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</si>
  <si>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</si>
  <si>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Create EKS deployment/Service with non-root/read-only settings and probes.</t>
  </si>
  <si>
    <t>Production-shaped runtime boundaries reduce container and availability risk.</t>
  </si>
  <si>
    <t>Server dry-run and policy validation pass.</t>
  </si>
  <si>
    <t>Manifests use immutable digest and no secret literal.</t>
  </si>
  <si>
    <t>docs/test-evidence/W6-02-k8s.txt</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</si>
  <si>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</si>
  <si>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</si>
  <si>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</si>
  <si>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</si>
  <si>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</si>
  <si>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</si>
  <si>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</si>
  <si>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</si>
  <si>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</si>
  <si>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</si>
  <si>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</si>
  <si>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</si>
  <si>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</si>
  <si>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</si>
  <si>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</si>
  <si>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</si>
  <si>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</si>
  <si>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</si>
  <si>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</si>
  <si>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</si>
  <si>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</si>
  <si>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</si>
  <si>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</si>
  <si>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</si>
  <si>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</si>
  <si>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</si>
  <si>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</si>
  <si>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</si>
  <si>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</si>
  <si>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</si>
  <si>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</si>
  <si>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</si>
  <si>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</si>
  <si>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</si>
  <si>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</si>
  <si>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</si>
  <si>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</si>
  <si>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</si>
  <si>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</si>
  <si>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</si>
  <si>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</si>
  <si>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</si>
  <si>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</si>
  <si>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</si>
  <si>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</si>
  <si>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</si>
  <si>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</si>
  <si>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</si>
  <si>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</si>
  <si>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</si>
  <si>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</si>
  <si>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Rules validate and map to an owner/runbook.</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</si>
  <si>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</si>
  <si>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</si>
  <si>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</si>
  <si>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</si>
  <si>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</si>
  <si>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</si>
  <si>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</si>
  <si>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</si>
  <si>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</si>
  <si>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</si>
  <si>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</si>
  <si>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</si>
  <si>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</si>
  <si>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</si>
  <si>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</si>
  <si>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</si>
  <si>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</si>
  <si>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</si>
  <si>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</si>
  <si>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Readiness fails, no retry storm, alert/runbook activates; FIS has tag targets/stop alarms.</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</si>
  <si>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</si>
  <si>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</si>
  <si>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</si>
  <si>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</si>
  <si>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</si>
  <si>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</si>
  <si>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</si>
  <si>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</si>
  <si>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</si>
  <si>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</si>
  <si>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Evidence index links tests, eval, scans, traces and decisions.</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</si>
  <si>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</si>
  <si>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</si>
  <si>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</si>
  <si>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</si>
  <si>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</si>
  <si>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</si>
  <si>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</si>
  <si>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</si>
  <si>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Rollback record includes trigger, approver, duration and post-checks.</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</si>
  <si>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</si>
  <si>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</si>
  <si>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</si>
  <si>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</si>
  <si>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</si>
  <si>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</si>
  <si>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</si>
  <si>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Signed cleanup report and deletion record exist.</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</si>
  <si>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</si>
  <si>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</si>
  <si>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</si>
  <si>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</si>
  <si>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</si>
  <si>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</si>
  <si>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</si>
  <si>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</si>
  <si>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</si>
  <si>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</si>
  <si>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</si>
  <si>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</si>
  <si>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</si>
  <si>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</si>
  <si>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</si>
  <si>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</si>
  <si>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</si>
  <si>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</si>
  <si>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</si>
  <si>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</si>
  <si>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</si>
  <si>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</si>
  <si>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</si>
  <si>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</si>
  <si>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</si>
  <si>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</si>
  <si>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</si>
  <si>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</si>
  <si>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</si>
  <si>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</si>
  <si>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</si>
  <si>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</si>
  <si>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</si>
  <si>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</si>
  <si>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</si>
  <si>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</si>
  <si>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</si>
  <si>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</si>
  <si>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</si>
  <si>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</si>
  <si>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Stop between weeks until MUST work, evidence, decisions, TODOs and rollback readiness are reviewed.</t>
  </si>
  <si>
    <t>docs/deployment-records/TODO_WEEK-signoff.md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</si>
  <si>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</si>
  <si>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</si>
  <si>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</si>
  <si>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</si>
  <si>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</si>
  <si>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</si>
  <si>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</si>
  <si>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</si>
  <si>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</si>
  <si>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</si>
  <si>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</si>
  <si>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</si>
  <si>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</si>
  <si>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</si>
  <si>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</si>
  <si>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Use only for owner learning and teach-back; no code, command or document mutation</t>
  </si>
  <si>
    <t>Week 2 owner learning and interview teach-back</t>
  </si>
  <si>
    <t>Owner teach-back and optional docs/learning/W2-learning-review.md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</si>
  <si>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</si>
  <si>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</si>
  <si>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</si>
  <si>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</si>
  <si>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owner learning and interview teach-back</t>
  </si>
  <si>
    <t>Owner teach-back and optional docs/learning/W3-learning-review.md</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</si>
  <si>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</si>
  <si>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</si>
  <si>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</si>
  <si>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</si>
  <si>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owner learning and interview teach-back</t>
  </si>
  <si>
    <t>Owner teach-back and optional docs/learning/W4-learning-review.md</t>
  </si>
  <si>
    <t>Non-secret tfvars example and docs/cost-estimates/W5-inputs.md</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</si>
  <si>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</si>
  <si>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</si>
  <si>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</si>
  <si>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</si>
  <si>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owner learning and interview teach-back</t>
  </si>
  <si>
    <t>Owner teach-back and optional docs/learning/W5-learning-review.md</t>
  </si>
  <si>
    <t>Kubernetes/Helm manifests, identity, network policy, health, HPA/PDB and rollback</t>
  </si>
  <si>
    <t>OTel collector, Prometheus, Grafana, CloudWatch alarms, runbook and FIS plan</t>
  </si>
  <si>
    <t>Final validation script, evidence index, ADR updates, demo checklist and architecture brief</t>
  </si>
  <si>
    <t>Week 6 owner learning and interview teach-back</t>
  </si>
  <si>
    <t>Owner teach-back and optional docs/learning/W6-learning-review.md</t>
  </si>
  <si>
    <t>Controlled Owner-Led Codex Prompt Library — v1.3.0</t>
  </si>
  <si>
    <t>Flow: Main Prompt → owner Code Edit Approval → Codex writes code only → owner-led TEST-001 execution/guidance → owner Document Writing Approval → owner Final Approval After Test → owner tracker update → weekly learning teach-back.</t>
  </si>
  <si>
    <t>Code Edit Approval Prompt</t>
  </si>
  <si>
    <t>Document Writing Approval Prompt</t>
  </si>
  <si>
    <t>Final Approval After Owner Test Prompt</t>
  </si>
  <si>
    <t>Set the owner-learning and code-only operating model.</t>
  </si>
  <si>
    <t>Source of Truth, Coaching Blueprint, tracker and owner decisions</t>
  </si>
  <si>
    <t>Context acknowledgement only</t>
  </si>
  <si>
    <t>PROJECT CONTEXT — ENTERPRISE AI ARCHITECTURE OWNER-LED LEARNING PROJECT / TRACKER v1.3.0
The owner is learning enterprise AI architecture, implementation, testing, deployment, remediation and the end-to-end decision flow. Codex is the coding assistant because the owner is not yet comfortable writing code.
Operating model: Codex may inspect and write only explicitly approved code/configuration/infrastructure-as-code/schemas/automated test code. The owner runs every test, installer, Docker/service, deployment, rollback, teardown, registry and cloud command. Codex explains one owner command at a time, diagnoses returned output and never self-remediates.
Documentation is separately approved and business-first. Every completed implementation must include business use case, architecture position, technical importance, layman explanation, decisions/trade-offs, failure/rollback story and interview preparation. Every week ends with a mandatory teaching task.
Authority and technical architecture remain unchanged: Source of Truth v1.1, owner-approved ADRs, Coaching Blueprint, tracker, approved feature requirements, then generated code. Never invent an owner decision or silently reconcile a conflict.
Acknowledge only: WAITING FOR CTRL-001. Do not create, edit, run or mutate anything.</t>
  </si>
  <si>
    <t>Paste once per session</t>
  </si>
  <si>
    <t>WAITING FOR CTRL-001</t>
  </si>
  <si>
    <t>N/A — context only</t>
  </si>
  <si>
    <t>Enforce the Main → Code → Owner Test → Documents → Final Approval workflow.</t>
  </si>
  <si>
    <t>Exact tracker rows, Task Context, owner decisions and approved boundaries</t>
  </si>
  <si>
    <t>Read-only plan, code-only edit, owner runbook, documentation gate and learning summary</t>
  </si>
  <si>
    <t>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Write only approved business-first documentation and factual evidence from owner-provided results. Clearly distinguish PASS, FAIL, NOT RUN and pending work. Do not edit code or run commands.
STAGE 5 — COLUMN N / FINAL APPROVAL AFTER OWNER TEST
Acknowledge the owner's final decision. Make no further change. The owner updates Excel. Complete WEEKLY-LEARN-001 after the week's tasks.</t>
  </si>
  <si>
    <t>Paste after CTX-001</t>
  </si>
  <si>
    <t>WAITING FOR ONE MAIN PROMPT</t>
  </si>
  <si>
    <t>Owner approves every stage</t>
  </si>
  <si>
    <t>N/A — global control</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</si>
  <si>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</si>
  <si>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</si>
  <si>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</si>
  <si>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</si>
  <si>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OWNER-LED TEST, DEPLOYMENT AND REMEDIATION GUIDE v1.3.0
Required inputs: prompt ID, approved code diff/path list, tracker acceptance criteria, environment/access boundary and prior owner outputs.
Codex must not execute commands, edit files, deploy, roll back, tear down, remediate, stage, commit or push. The owner has the required access and executes every command.
1. Build a phased owner runbook: prerequisites → offline/unit/contract/security tests → integration/runtime tests → deployment where applicable → business validation → rollback/teardown → residue and repository checks.
2. Present exactly one command at a time. For each command state: purpose, expected result, whether it is read-only/networked/mutating/paid, required access, stop condition and cleanup. Wait for the owner's complete sanitized output.
3. Validate the returned exit code/output against the expected result. Never infer PASS from incomplete output.
4. On failure, respond in one line: FAILED — &lt;command&gt; | Purpose: &lt;purpose&gt; | Failed at: &lt;check&gt; | Exit: &lt;code&gt; | Error: &lt;sanitized error&gt; | Next: &lt;one owner action&gt;. Then explain only what the owner needs to understand.
5. Guide environment/access remediation through the owner. If the defect is in source code, propose the exact bounded code-change plan and stop for a new Code Edit Approval; do not patch automatically.
6. At the end summarize executed/not-run commands, business acceptance, security/privacy/cost, rollback/teardown, residue, limitations and evidence the owner should approve for documentation.
End exactly: OWNER TESTING PASS — TODO_PROMPT_ID or OWNER TESTING BLOCKED — TODO_PROMPT_ID. Stop.</t>
  </si>
  <si>
    <t>Use after CODE READY FOR OWNER TESTING</t>
  </si>
  <si>
    <t>OWNER TESTING PASS/BLOCKED; no Codex execution</t>
  </si>
  <si>
    <t>Owner executes and owns results</t>
  </si>
  <si>
    <t>N/A — no code editing</t>
  </si>
  <si>
    <t>N/A — use feature row Column M</t>
  </si>
  <si>
    <t>N/A — use feature row Column N</t>
  </si>
  <si>
    <t>Approved business-first documentation/decision record only; no code or command execution</t>
  </si>
  <si>
    <t>DOCUMENTATION READY FOR OWNER REVIEW — W1-MVP-001</t>
  </si>
  <si>
    <t>Owner approves documentation and final result</t>
  </si>
  <si>
    <t>N/A — document-only prompt</t>
  </si>
  <si>
    <t>I reviewed the owner-executed test/deployment results and the approved documentation plan for W1-MVP-001.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W1-MVP-001.</t>
  </si>
  <si>
    <t>I reviewed the W1-MVP-001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W1-MVP-001. List only remaining owner TODOs or accepted risks, then stop.</t>
  </si>
  <si>
    <t>DOCUMENTATION READY FOR OWNER REVIEW — W1-GOV-001</t>
  </si>
  <si>
    <t>I reviewed the owner-executed test/deployment results and the approved documentation plan for W1-GOV-001.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W1-GOV-001.</t>
  </si>
  <si>
    <t>I reviewed the W1-GOV-001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W1-GOV-001. List only remaining owner TODOs or accepted risks, then stop.</t>
  </si>
  <si>
    <t>Approved code/configuration/test-code changes; owner test/deployment/remediation guide; business/technical/layman/interview summary</t>
  </si>
  <si>
    <t>Review Main Prompt → Column L code approval → owner runs TEST-001 → Column M documents → Column N final approval</t>
  </si>
  <si>
    <t>CODE READY FOR OWNER TESTING — W1-001</t>
  </si>
  <si>
    <t>Owner approves code, documents and final result separately</t>
  </si>
  <si>
    <t>I reviewed the Main Prompt and pre-edit plan for W1-001.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W1-001.</t>
  </si>
  <si>
    <t>I reviewed the owner-executed test/deployment results and the approved documentation plan for W1-001.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W1-001.</t>
  </si>
  <si>
    <t>I reviewed the W1-001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W1-001. List only remaining owner TODOs or accepted risks, then stop.</t>
  </si>
  <si>
    <t>CODE READY FOR OWNER TESTING — W1-002</t>
  </si>
  <si>
    <t>I reviewed the Main Prompt and pre-edit plan for W1-002.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W1-002.</t>
  </si>
  <si>
    <t>I reviewed the owner-executed test/deployment results and the approved documentation plan for W1-002.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W1-002.</t>
  </si>
  <si>
    <t>I reviewed the W1-002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W1-002. List only remaining owner TODOs or accepted risks, then stop.</t>
  </si>
  <si>
    <t>CODE READY FOR OWNER TESTING — W1-003</t>
  </si>
  <si>
    <t>I reviewed the Main Prompt and pre-edit plan for W1-003.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W1-003.</t>
  </si>
  <si>
    <t>I reviewed the owner-executed test/deployment results and the approved documentation plan for W1-003.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W1-003.</t>
  </si>
  <si>
    <t>I reviewed the W1-003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W1-003. List only remaining owner TODOs or accepted risks, then stop.</t>
  </si>
  <si>
    <t>CODE READY FOR OWNER TESTING — W1-004</t>
  </si>
  <si>
    <t>I reviewed the Main Prompt and pre-edit plan for W1-004.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W1-004.</t>
  </si>
  <si>
    <t>I reviewed the owner-executed test/deployment results and the approved documentation plan for W1-004.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W1-004.</t>
  </si>
  <si>
    <t>I reviewed the W1-004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W1-004. List only remaining owner TODOs or accepted risks, then stop.</t>
  </si>
  <si>
    <t>Local Qdrant foundation, domain models and pluggable vector adapters</t>
  </si>
  <si>
    <t>Establish the pinned local prerequisite and prevent vendor/security leakage into retrieval logic.</t>
  </si>
  <si>
    <t>W1 sign-off; DATA-002, DATA-003, EMB-001, SEC-001; Docker 24+; approved Qdrant digests</t>
  </si>
  <si>
    <t>SIMPLE THREE-STAGE OWNER-CONTROLLED WORKFLOW — TRACKER v1.1.2
This is the MAIN PROMPT for W2-001. Covered tracker steps: W2-03,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FINAL OWNER-LED EXECUTION BOUNDARY — THIS SECTION SUPERSEDES EVERY CONFLICTING INSTRUCTION ABOVE
This boundary applies to W2-001.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</si>
  <si>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W2-001</t>
  </si>
  <si>
    <t>W2-03, W2-01, W2-02, W2-04, W2-08</t>
  </si>
  <si>
    <t>I reviewed the Main Prompt and pre-edit plan for W2-001.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W2-001.</t>
  </si>
  <si>
    <t>I reviewed the owner-executed test/deployment results and the approved documentation plan for W2-001.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W2-001.</t>
  </si>
  <si>
    <t>I reviewed the W2-001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W2-001. List only remaining owner TODOs or accepted risks, then stop.</t>
  </si>
  <si>
    <t>SIMPLE THREE-STAGE OWNER-CONTROLLED WORKFLOW — TRACKER v1.1.2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SCOPED v1.1.2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FINAL OWNER-LED EXECUTION BOUNDARY — THIS SECTION SUPERSEDES EVERY CONFLICTING INSTRUCTION ABOVE
This boundary applies to W2-002.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</si>
  <si>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W2-002</t>
  </si>
  <si>
    <t>I reviewed the Main Prompt and pre-edit plan for W2-002.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W2-002.</t>
  </si>
  <si>
    <t>I reviewed the owner-executed test/deployment results and the approved documentation plan for W2-002.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W2-002.</t>
  </si>
  <si>
    <t>I reviewed the W2-002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W2-002. List only remaining owner TODOs or accepted risks, then stop.</t>
  </si>
  <si>
    <t>SIMPLE THREE-STAGE OWNER-CONTROLLED WORKFLOW — TRACKER v1.1.2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SCOPED v1.1.2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FINAL OWNER-LED EXECUTION BOUNDARY — THIS SECTION SUPERSEDES EVERY CONFLICTING INSTRUCTION ABOVE
This boundary applies to W2-003.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</si>
  <si>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W2-003</t>
  </si>
  <si>
    <t>I reviewed the Main Prompt and pre-edit plan for W2-003.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W2-003.</t>
  </si>
  <si>
    <t>I reviewed the owner-executed test/deployment results and the approved documentation plan for W2-003.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W2-003.</t>
  </si>
  <si>
    <t>I reviewed the W2-003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W2-003. List only remaining owner TODOs or accepted risks, then stop.</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</si>
  <si>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</si>
  <si>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</si>
  <si>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</si>
  <si>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SIMPLE THREE-STAGE OWNER-CONTROLLED WORKFLOW — TRACKER v1.1.2
This is the MAIN PROMPT for W2-004. Covered tracker steps: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SCOPED v1.1.2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FINAL OWNER-LED EXECUTION BOUNDARY — THIS SECTION SUPERSEDES EVERY CONFLICTING INSTRUCTION ABOVE
This boundary applies to W2-004.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</si>
  <si>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W2-004</t>
  </si>
  <si>
    <t>W2-09, W2-10</t>
  </si>
  <si>
    <t>I reviewed the Main Prompt and pre-edit plan for W2-004.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W2-004.</t>
  </si>
  <si>
    <t>I reviewed the owner-executed test/deployment results and the approved documentation plan for W2-004.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W2-004.</t>
  </si>
  <si>
    <t>I reviewed the W2-004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W2-004. List only remaining owner TODOs or accepted risks, then stop.</t>
  </si>
  <si>
    <t>Business/technical/layman explanation, decision review and interview practice only</t>
  </si>
  <si>
    <t>SIMPLE THREE-STAGE OWNER-CONTROLLED WORKFLOW — TRACKER v1.1.2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SCOPED v1.1.2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FINAL TEACHING-ONLY BOUNDARY — THIS SECTION SUPERSEDES EVERY CONFLICTING INSTRUCTION ABOVE
Use W2-LEARN-001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W2-LEARN-001.</t>
  </si>
  <si>
    <t>Use for owner learning; no code or commands</t>
  </si>
  <si>
    <t>LEARNING REVIEW COMPLETE — W2-LEARN-001</t>
  </si>
  <si>
    <t>Owner teach-back</t>
  </si>
  <si>
    <t>N/A — teaching only</t>
  </si>
  <si>
    <t>Optional learning-note approval only</t>
  </si>
  <si>
    <t>Owner learning acknowledgement</t>
  </si>
  <si>
    <t>SIMPLE THREE-STAGE OWNER-CONTROLLED WORKFLOW — TRACKER v1.1.2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FINAL OWNER-LED EXECUTION BOUNDARY — THIS SECTION SUPERSEDES EVERY CONFLICTING INSTRUCTION ABOVE
This boundary applies to W3-001.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</si>
  <si>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W3-001</t>
  </si>
  <si>
    <t>I reviewed the Main Prompt and pre-edit plan for W3-001.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W3-001.</t>
  </si>
  <si>
    <t>I reviewed the owner-executed test/deployment results and the approved documentation plan for W3-001.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W3-001.</t>
  </si>
  <si>
    <t>I reviewed the W3-001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W3-001. List only remaining owner TODOs or accepted risks, then stop.</t>
  </si>
  <si>
    <t>CODE READY FOR OWNER TESTING — W3-002</t>
  </si>
  <si>
    <t>I reviewed the Main Prompt and pre-edit plan for W3-002.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W3-002.</t>
  </si>
  <si>
    <t>I reviewed the owner-executed test/deployment results and the approved documentation plan for W3-002.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W3-002.</t>
  </si>
  <si>
    <t>I reviewed the W3-002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W3-002. List only remaining owner TODOs or accepted risks, then stop.</t>
  </si>
  <si>
    <t>SIMPLE THREE-STAGE OWNER-CONTROLLED WORKFLOW — TRACKER v1.1.2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SCOPED v1.1.2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FINAL OWNER-LED EXECUTION BOUNDARY — THIS SECTION SUPERSEDES EVERY CONFLICTING INSTRUCTION ABOVE
This boundary applies to W3-003.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</si>
  <si>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W3-003</t>
  </si>
  <si>
    <t>I reviewed the Main Prompt and pre-edit plan for W3-003.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W3-003.</t>
  </si>
  <si>
    <t>I reviewed the owner-executed test/deployment results and the approved documentation plan for W3-003.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W3-003.</t>
  </si>
  <si>
    <t>I reviewed the W3-003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W3-003. List only remaining owner TODOs or accepted risks, then stop.</t>
  </si>
  <si>
    <t>SIMPLE THREE-STAGE OWNER-CONTROLLED WORKFLOW — TRACKER v1.1.2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SCOPED v1.1.2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FINAL OWNER-LED EXECUTION BOUNDARY — THIS SECTION SUPERSEDES EVERY CONFLICTING INSTRUCTION ABOVE
This boundary applies to W3-ROLLBACK-001.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</si>
  <si>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W3-ROLLBACK-001</t>
  </si>
  <si>
    <t>I reviewed the Main Prompt and pre-edit plan for W3-ROLLBACK-001.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W3-ROLLBACK-001.</t>
  </si>
  <si>
    <t>I reviewed the owner-executed test/deployment results and the approved documentation plan for W3-ROLLBACK-001.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W3-ROLLBACK-001.</t>
  </si>
  <si>
    <t>I reviewed the W3-ROLLBACK-001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W3-ROLLBACK-001. List only remaining owner TODOs or accepted risks, then stop.</t>
  </si>
  <si>
    <t>SIMPLE THREE-STAGE OWNER-CONTROLLED WORKFLOW — TRACKER v1.1.2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FINAL OWNER-LED EXECUTION BOUNDARY — THIS SECTION SUPERSEDES EVERY CONFLICTING INSTRUCTION ABOVE
This boundary applies to W4-001.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</si>
  <si>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W4-001</t>
  </si>
  <si>
    <t>I reviewed the Main Prompt and pre-edit plan for W4-001.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W4-001.</t>
  </si>
  <si>
    <t>I reviewed the owner-executed test/deployment results and the approved documentation plan for W4-001.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W4-001.</t>
  </si>
  <si>
    <t>I reviewed the W4-001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W4-001. List only remaining owner TODOs or accepted risks, then stop.</t>
  </si>
  <si>
    <t>SIMPLE THREE-STAGE OWNER-CONTROLLED WORKFLOW — TRACKER v1.1.2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SCOPED v1.1.2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FINAL OWNER-LED EXECUTION BOUNDARY — THIS SECTION SUPERSEDES EVERY CONFLICTING INSTRUCTION ABOVE
This boundary applies to W4-002.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</si>
  <si>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W4-002</t>
  </si>
  <si>
    <t>I reviewed the Main Prompt and pre-edit plan for W4-002.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W4-002.</t>
  </si>
  <si>
    <t>I reviewed the owner-executed test/deployment results and the approved documentation plan for W4-002.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W4-002.</t>
  </si>
  <si>
    <t>I reviewed the W4-002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W4-002. List only remaining owner TODOs or accepted risks, then stop.</t>
  </si>
  <si>
    <t>SIMPLE THREE-STAGE OWNER-CONTROLLED WORKFLOW — TRACKER v1.1.2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SCOPED v1.1.2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Both phases test redaction, cardinality, correlation, error classification, exporter outage/backpressure and shutdown cleanup. Telemetry failure must not leak content or corrupt the answer path. Each phase ends with its own READY FOR INDEPENDENT TEST — W4-003 and separate owner final approval.
FINAL OWNER-LED EXECUTION BOUNDARY — THIS SECTION SUPERSEDES EVERY CONFLICTING INSTRUCTION ABOVE
This boundary applies to W4-003.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</si>
  <si>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W4-003</t>
  </si>
  <si>
    <t>I reviewed the Main Prompt and pre-edit plan for W4-003.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W4-003.</t>
  </si>
  <si>
    <t>I reviewed the owner-executed test/deployment results and the approved documentation plan for W4-003.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W4-003.</t>
  </si>
  <si>
    <t>I reviewed the W4-003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W4-003. List only remaining owner TODOs or accepted risks, then stop.</t>
  </si>
  <si>
    <t>SIMPLE THREE-STAGE OWNER-CONTROLLED WORKFLOW — TRACKER v1.1.2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SCOPED v1.1.2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FINAL OWNER-LED EXECUTION BOUNDARY — THIS SECTION SUPERSEDES EVERY CONFLICTING INSTRUCTION ABOVE
This boundary applies to W4-ROLLBACK-001.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</si>
  <si>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W4-ROLLBACK-001</t>
  </si>
  <si>
    <t>I reviewed the Main Prompt and pre-edit plan for W4-ROLLBACK-001.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W4-ROLLBACK-001.</t>
  </si>
  <si>
    <t>I reviewed the owner-executed test/deployment results and the approved documentation plan for W4-ROLLBACK-001.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W4-ROLLBACK-001.</t>
  </si>
  <si>
    <t>I reviewed the W4-ROLLBACK-001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W4-ROLLBACK-001. List only remaining owner TODOs or accepted risks, then stop.</t>
  </si>
  <si>
    <t>SIMPLE THREE-STAGE OWNER-CONTROLLED WORKFLOW — TRACKER v1.1.2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FINAL OWNER-LED DOCUMENT BOUNDARY — THIS SECTION SUPERSEDES EVERY CONFLICTING INSTRUCTION ABOVE
This is a documentation/decision task for W5-INPUTS-001;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W5-INPUTS-001. Stop for Column N final approval.</t>
  </si>
  <si>
    <t>DOCUMENTATION READY FOR OWNER REVIEW — W5-INPUTS-001</t>
  </si>
  <si>
    <t>I reviewed the owner-executed test/deployment results and the approved documentation plan for W5-INPUTS-001.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W5-INPUTS-001.</t>
  </si>
  <si>
    <t>I reviewed the W5-INPUTS-001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W5-INPUTS-001. List only remaining owner TODOs or accepted risks, then stop.</t>
  </si>
  <si>
    <t>SIMPLE THREE-STAGE OWNER-CONTROLLED WORKFLOW — TRACKER v1.1.2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SCOPED v1.1.2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FINAL OWNER-LED EXECUTION BOUNDARY — THIS SECTION SUPERSEDES EVERY CONFLICTING INSTRUCTION ABOVE
This boundary applies to W5-001.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</si>
  <si>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W5-001</t>
  </si>
  <si>
    <t>I reviewed the Main Prompt and pre-edit plan for W5-001.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W5-001.</t>
  </si>
  <si>
    <t>I reviewed the owner-executed test/deployment results and the approved documentation plan for W5-001.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W5-001.</t>
  </si>
  <si>
    <t>I reviewed the W5-001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W5-001. List only remaining owner TODOs or accepted risks, then stop.</t>
  </si>
  <si>
    <t>SIMPLE THREE-STAGE OWNER-CONTROLLED WORKFLOW — TRACKER v1.1.2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SCOPED v1.1.2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FINAL OWNER-LED EXECUTION BOUNDARY — THIS SECTION SUPERSEDES EVERY CONFLICTING INSTRUCTION ABOVE
This boundary applies to W5-002.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</si>
  <si>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W5-002</t>
  </si>
  <si>
    <t>I reviewed the Main Prompt and pre-edit plan for W5-002.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W5-002.</t>
  </si>
  <si>
    <t>I reviewed the owner-executed test/deployment results and the approved documentation plan for W5-002.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W5-002.</t>
  </si>
  <si>
    <t>I reviewed the W5-002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W5-002. List only remaining owner TODOs or accepted risks, then stop.</t>
  </si>
  <si>
    <t>SIMPLE THREE-STAGE OWNER-CONTROLLED WORKFLOW — TRACKER v1.1.2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SCOPED v1.1.2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FINAL OWNER-LED EXECUTION BOUNDARY — THIS SECTION SUPERSEDES EVERY CONFLICTING INSTRUCTION ABOVE
This boundary applies to W5-003.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</si>
  <si>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W5-003</t>
  </si>
  <si>
    <t>I reviewed the Main Prompt and pre-edit plan for W5-003.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W5-003.</t>
  </si>
  <si>
    <t>I reviewed the owner-executed test/deployment results and the approved documentation plan for W5-003.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W5-003.</t>
  </si>
  <si>
    <t>I reviewed the W5-003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W5-003. List only remaining owner TODOs or accepted risks, then stop.</t>
  </si>
  <si>
    <t>SIMPLE THREE-STAGE OWNER-CONTROLLED WORKFLOW — TRACKER v1.1.2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SCOPED v1.1.2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FINAL OWNER-LED EXECUTION BOUNDARY — THIS SECTION SUPERSEDES EVERY CONFLICTING INSTRUCTION ABOVE
This boundary applies to W5-004.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</si>
  <si>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W5-004</t>
  </si>
  <si>
    <t>I reviewed the Main Prompt and pre-edit plan for W5-004.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W5-004.</t>
  </si>
  <si>
    <t>I reviewed the owner-executed test/deployment results and the approved documentation plan for W5-004.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W5-004.</t>
  </si>
  <si>
    <t>I reviewed the W5-004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W5-004. List only remaining owner TODOs or accepted risks, then stop.</t>
  </si>
  <si>
    <t>SIMPLE THREE-STAGE OWNER-CONTROLLED WORKFLOW — TRACKER v1.1.2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FINAL OWNER-LED EXECUTION BOUNDARY — THIS SECTION SUPERSEDES EVERY CONFLICTING INSTRUCTION ABOVE
This boundary applies to W6-001.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</si>
  <si>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W6-001</t>
  </si>
  <si>
    <t>I reviewed the Main Prompt and pre-edit plan for W6-001.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W6-001.</t>
  </si>
  <si>
    <t>I reviewed the owner-executed test/deployment results and the approved documentation plan for W6-001.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W6-001.</t>
  </si>
  <si>
    <t>I reviewed the W6-001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W6-001. List only remaining owner TODOs or accepted risks, then stop.</t>
  </si>
  <si>
    <t>SIMPLE THREE-STAGE OWNER-CONTROLLED WORKFLOW — TRACKER v1.1.2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SCOPED v1.1.2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FINAL OWNER-LED EXECUTION BOUNDARY — THIS SECTION SUPERSEDES EVERY CONFLICTING INSTRUCTION ABOVE
This boundary applies to W6-002.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</si>
  <si>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W6-002</t>
  </si>
  <si>
    <t>I reviewed the Main Prompt and pre-edit plan for W6-002.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W6-002.</t>
  </si>
  <si>
    <t>I reviewed the owner-executed test/deployment results and the approved documentation plan for W6-002.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W6-002.</t>
  </si>
  <si>
    <t>I reviewed the W6-002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W6-002. List only remaining owner TODOs or accepted risks, then stop.</t>
  </si>
  <si>
    <t>SIMPLE THREE-STAGE OWNER-CONTROLLED WORKFLOW — TRACKER v1.1.2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SCOPED v1.1.2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FINAL OWNER-LED EXECUTION BOUNDARY — THIS SECTION SUPERSEDES EVERY CONFLICTING INSTRUCTION ABOVE
This boundary applies to W6-003.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</si>
  <si>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W6-003</t>
  </si>
  <si>
    <t>I reviewed the Main Prompt and pre-edit plan for W6-003.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W6-003.</t>
  </si>
  <si>
    <t>I reviewed the owner-executed test/deployment results and the approved documentation plan for W6-003.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W6-003.</t>
  </si>
  <si>
    <t>I reviewed the W6-003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W6-003. List only remaining owner TODOs or accepted risks, then stop.</t>
  </si>
  <si>
    <t>SIMPLE THREE-STAGE OWNER-CONTROLLED WORKFLOW — TRACKER v1.1.2 PROMPT CONTROL
This is the MAIN PROMPT for WEEKLY-REVIEW-001. Covered tracker steps: W1-12, W2-12, W3-12, W4-12, W5-13.
FIRST RESPONSE — PRE-EDIT REVIEW ONLY
Inspect the repository, the exact weekly tracker rows and governing inputs, but do not create, edit, delete, install, start a service or mutate any local/cloud resource.
1. Reconcile every MUST row for TODO_WEEK with its Prompt ID, prerequisites, Owner TODOs, acceptance criteria, commands, expected result, canonical evidence, ADRs, rollback/teardown and actual status.
2. Reconcile tracker → repository artifacts → evidence → approvals/commits → normal developer commands. Include tracked, untracked, ignored and Git-invisible state.
3. List every mismatch, stale evidence path, missing decision, failed/not-run test, unapproved path, residue, accepted risk and deferred item. Never infer Done from a feature prompt or local PASS.
4. Define the exact sign-off file change, safe required verification and final owner-controlled tracker update. Reuse current independent results when hashes are unchanged; do not invent a redundant full retest.
5. Report cost, privacy/data-residency, release rollback, infrastructure rollback, complete teardown and residual-resource risk.
If any MUST requirement or governing decision is unresolved, report BLOCKED and stop. Otherwise end exactly: READY FOR PRE-EDIT REVIEW — WEEKLY-REVIEW-001. Stop.
SECOND RESPONSE — ONLY AFTER OWNER PASTES THE MATCHING PRE-EDIT APPROVAL FROM COLUMN L
Create or update only docs/deployment-records/TODO_WEEK-signoff.md within the approved boundary. Preserve every historical failure and actual result. Status remains PENDING OWNER APPROVAL until the owner reviews it. Do not edit Excel, stage, commit, push or begin the next week unless separately authorized.
Show the exact diff, commands/results, evidence mapping, cost/privacy impact, rollback/teardown and remaining items.
End exactly: READY FOR INDEPENDENT TEST — WEEKLY-REVIEW-001. Stop.
SCOPED v1.1.2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FINAL OWNER-LED DOCUMENT BOUNDARY — THIS SECTION SUPERSEDES EVERY CONFLICTING INSTRUCTION ABOVE
This is a documentation/decision task for WEEKLY-REVIEW-001;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WEEKLY-REVIEW-001. Stop for Column N final approval.</t>
  </si>
  <si>
    <t>DOCUMENTATION READY FOR OWNER REVIEW — WEEKLY-REVIEW-001</t>
  </si>
  <si>
    <t>I reviewed the owner-executed test/deployment results and the approved documentation plan for WEEKLY-REVIEW-001.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WEEKLY-REVIEW-001.</t>
  </si>
  <si>
    <t>I reviewed the WEEKLY-REVIEW-001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WEEKLY-REVIEW-001. List only remaining owner TODOs or accepted risks, then stop.</t>
  </si>
  <si>
    <t>CODE READY FOR OWNER TESTING — ST-001</t>
  </si>
  <si>
    <t>I reviewed the Main Prompt and pre-edit plan for ST-001.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ST-001.</t>
  </si>
  <si>
    <t>I reviewed the owner-executed test/deployment results and the approved documentation plan for ST-001.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ST-001.</t>
  </si>
  <si>
    <t>I reviewed the ST-001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ST-001. List only remaining owner TODOs or accepted risks, then stop.</t>
  </si>
  <si>
    <t>CODE READY FOR OWNER TESTING — ST-002</t>
  </si>
  <si>
    <t>I reviewed the Main Prompt and pre-edit plan for ST-002.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ST-002.</t>
  </si>
  <si>
    <t>I reviewed the owner-executed test/deployment results and the approved documentation plan for ST-002.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ST-002.</t>
  </si>
  <si>
    <t>I reviewed the ST-002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ST-002. List only remaining owner TODOs or accepted risks, then stop.</t>
  </si>
  <si>
    <t>W1-CONSOLIDATED-001 — WEEK 1 CLOSURE HISTORY AND REUSABLE REGRESSION GATE
Purpose: preserve the complete Week 1 correction/test history and convert it into a future prevention checklist. This is a read-only audit prompt; it does not reopen Week 1, alter architecture/tasks, authorize mutation or edit the tracker.
AUTHORITATIVE WEEK 1 FACTS
- Baseline: d3e5ad182fac38dbf166c6ce15b8ade8868379da.
- Consolidated implementation commit: 210381c3ddbc9aab83ccaeb11a59db8d8dad549b; subject Week 1: complete consolidated implementation.
- Implementation boundary: 18 modified + 2 deleted + 47 created = 67 paths; final implementation diff 3,572 insertions and 112 deletions; owner workbook excluded.
- W1-12 sign-off approved by Gyan Prakash Rai on 2026-08-19T00:10:55+08:00. No AWS, paid API or deployment mutation occurred; platform cost USD 0.
- Owner decisions recorded: USE-001, DATA-001, AWS-002, TAG-001, SEC-003 and DEST-001.
CORRECTIONS PRESERVED
1. Tracker-to-prompt reconciliation exposed missing W1-08 pre-commit controls, W1-09 Terraform roots, stale evidence paths and missing ADR/decision traceability.
2. DeepEval and MyPy were made repository-clean: .deepeval and .mypy_cache are external/disabled; the same rule covers .pytest_cache, .ruff_cache, project __pycache__, repository .terraform and repository pre-commit caches.
3. Pre-commit validation was corrected to reproduce the exact 67-path proposal in a disposable copy and stage all approved paths there; this proved all 47 created files were visible to hooks.
4. detect-secrets findings for Git SHAs and the public Terraform checksum were reviewed as non-secrets; secret_scan became credential_scan; exception metadata requires owner, rationale and expiry; no broad detector/file exclusion is permitted; a synthetic credential must still fail.
5. Traceability was expanded to W1-01 through W1-12, ADR-001, ADR-002, ADR-009 through ADR-014, ADR-016, ADR-017 and all six owner decisions. The W1-004 history of 34 intended paths plus one workbook path remains disclosed.
6. Cleanliness tests became portable: the active root .venv is preserved when present, but a disposable clone without root .venv is valid; nested generated .venv directories remain prohibited.
7. Provider-free/resource-free Terraform bootstrap and sandbox roots were validated offline with Terraform 1.5.7 and official SHA-256 0cf9f41ba11b46f1fb6251952df98bf9c37ec294f26be7091b4909850659b592, external TF_DATA_DIR and no plan/apply/destroy, authentication, backend state or AWS call.
8. platformctl verify-clean exit 3 remains the approved offline fail-closed result when no AWS inventory adapter exists; mocked W1-11 residual detection passed and no live cleanliness claim was made.
9. JSON/text evidence was reconciled to preserve TEST-001, TEST-001R and TEST-001R2 failures, environment-precondition disclosures, historical/current diff arithmetic, pending states and the final composite closure basis.
10. Disposable rollback reconstruction restored all 20 tracked paths, removed 47 created paths and restored two placeholders without touching the workbook or unrelated fixtures.
VALIDATION HISTORY
- Consolidated local validation included complete development dependencies, pip check, make preflight/test/lint/type-check/scan, Ruff, strict MyPy over 22 source files, five local pre-commit hooks, controlled credential scanning, JSON/feature-matrix validation, safe AWS/paid sentinels, Terraform fmt/init -backend=false/validate, rollback reconstruction and full residue inventory.
- TEST-001 failed on exact-staged non-secret metadata findings and incomplete traceability.
- TEST-001R failed on missing exception audit metadata, a non-portable root-.venv test, incomplete environment disclosure, stale diff arithmetic and tests/__pycache__ residue.
- TEST-001R2 proved every targeted executable control passed but failed because the text evidence was incomplete.
- EVIDENCE-CHECK-001 passed all 17 read-only evidence checks. TEST-001R2 executable results plus EVIDENCE-CHECK-001 formed the approved composite independent closure gate.
FUTURE AUDIT PROCEDURE
A. Reconcile exact tracker rows before implementation and after implementation using CTRL-001.
B. Validate the complete proposed state—including untracked files—in a disposable staged copy using TEST-001.
C. Use the complete normal developer environment; keep caches external; inventory residue before/after commands; record actual counts.
D. Preserve failure history and use focused retests for affected gates when relevant hashes are unchanged. Evidence-only corrections receive a read-only evidence check, not another full-night matrix.
E. Do not mark a weekly gate complete until tracker, repository, evidence, owner decisions, commit boundary, rollback and cleanliness all reconcile.
Return a read-only PASS/FAIL mapping of these facts and controls to current evidence. Do not repair, mutate, rerun paid/cloud operations or rewrite history.
End exactly: W1-CONSOLIDATED-001 AUDIT PASS or W1-CONSOLIDATED-001 AUDIT FAIL. Stop.
FINAL TEACHING-ONLY BOUNDARY — THIS SECTION SUPERSEDES EVERY CONFLICTING INSTRUCTION ABOVE
Use W1-CONSOLIDATED-001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W1-CONSOLIDATED-001.</t>
  </si>
  <si>
    <t>LEARNING REVIEW COMPLETE — W1-CONSOLIDATED-001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</si>
  <si>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</si>
  <si>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</si>
  <si>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</si>
  <si>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</si>
  <si>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</si>
  <si>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WEEKLY-LEARN-001 — OWNER ARCHITECTURE AND INTERVIEW TEACH-BACK v1.3.0
Use only after the selected week's implementation/checkpoint tasks and owner approvals are complete. This prompt teaches; it does not create/edit code or documentation and runs no command.
Inputs: TODO_WEEK, completed tracker rows and Task Context, owner-executed results, approved ADRs/decisions, business documentation, known failures, rollback/teardown and remaining limitations.
Teach in this order:
1. Business problem, users, value, risk and measurable outcome.
2. End-to-end architecture flow and where each completed component fits.
3. Technical deep-dive: interfaces, data flow, security, reliability, observability, cost and deployment boundaries.
4. Layman explanation using one consistent analogy.
5. Owner decisions: selected option, rejected alternatives, trade-offs and revisit triggers.
6. Failure story: what can fail, how it is diagnosed, safe rollback and complete teardown.
7. Interview preparation: ten questions, concise answer points, two whiteboard prompts and a five-minute teach-back checklist.
8. Ask the owner to explain the week back in their own words; correct misunderstandings using evidence and clearly mark anything not implemented/tested.
If the owner later wants a saved learning note, wait for the applicable Document Writing Approval and write only docs/learning/TODO_WEEK-learning-review.md.
End exactly: WEEKLY LEARNING COMPLETE — TODO_WEEK. Stop.</t>
  </si>
  <si>
    <t>Replace TODO_WEEK and use after weekly final approvals</t>
  </si>
  <si>
    <t>WEEKLY LEARNING COMPLETE — TODO_WEEK</t>
  </si>
  <si>
    <t>W1-13, W2-13, W3-13, W4-13, W5-14, W6-14</t>
  </si>
  <si>
    <t>Optional: approve only docs/learning/TODO_WEEK-learning-review.md</t>
  </si>
  <si>
    <t>Owner learning acknowledgement; no implementation approval</t>
  </si>
  <si>
    <t>The owner runs every command. Record PASS only when the owner-executed output and approved evidence prove the expected result.</t>
  </si>
  <si>
    <t>Codex may write lifecycle code and advise steps, but the owner executes every deploy, rollback and teardown command after reviewing exact targets and risk.</t>
  </si>
  <si>
    <t>Source and Traceability Register — v1.3.0</t>
  </si>
  <si>
    <t>Execution Tracker v1.3.0</t>
  </si>
  <si>
    <t>Preserves the six-week architecture and historical status; adds owner-led execution, code-only Codex prompts, separate code/document/final approvals, task context and weekly learning gates.</t>
  </si>
  <si>
    <t>Execution</t>
  </si>
  <si>
    <t>Must remain consistent with Source of Truth v1.1 and owner-approved decisions; architecture changes still require reviewed ADR control.</t>
  </si>
  <si>
    <t>Current — owner-led learning amendment</t>
  </si>
  <si>
    <t>Change rule: Codex writes approved code only. The owner executes tests/deployments/remediation, approves documentation separately, gives final approval after testing and completes the weekly learning teach-back.</t>
  </si>
  <si>
    <t>Enterprise AI Owner Learning Journey — v1.3.0</t>
  </si>
  <si>
    <t>You own the decisions and execute the system. Codex writes approved code and explains every test, deployment, failure and remediation step.</t>
  </si>
  <si>
    <t>Four-stage approval and execution flow</t>
  </si>
  <si>
    <t>1</t>
  </si>
  <si>
    <t>Main Prompt</t>
  </si>
  <si>
    <t>Read-only plan</t>
  </si>
  <si>
    <t>Business purpose, architecture context, exact code boundary and owner-run validation</t>
  </si>
  <si>
    <t>No edits</t>
  </si>
  <si>
    <t>Owner reviews</t>
  </si>
  <si>
    <t>No runtime action</t>
  </si>
  <si>
    <t>Stop for approval</t>
  </si>
  <si>
    <t>2</t>
  </si>
  <si>
    <t>Code Edit Approval</t>
  </si>
  <si>
    <t>Codex writes code only</t>
  </si>
  <si>
    <t>Application/IaC/config/schema/automated-test code within approved paths</t>
  </si>
  <si>
    <t>Column L</t>
  </si>
  <si>
    <t>Codex edits</t>
  </si>
  <si>
    <t>No commands run</t>
  </si>
  <si>
    <t>CODE READY FOR OWNER TESTING</t>
  </si>
  <si>
    <t>Owner Testing</t>
  </si>
  <si>
    <t>Owner executes</t>
  </si>
  <si>
    <t>Tests, deployment, rollback, teardown and remediation guided one command at a time</t>
  </si>
  <si>
    <t>Results returned to Codex</t>
  </si>
  <si>
    <t>OWNER TESTING PASS/BLOCKED</t>
  </si>
  <si>
    <t>4</t>
  </si>
  <si>
    <t>Document Writing Approval</t>
  </si>
  <si>
    <t>Codex writes approved docs</t>
  </si>
  <si>
    <t>Business-first documentation and factual evidence from owner results</t>
  </si>
  <si>
    <t>Column M</t>
  </si>
  <si>
    <t>Codex documents</t>
  </si>
  <si>
    <t>No code/commands</t>
  </si>
  <si>
    <t>DOCUMENTATION READY FOR OWNER REVIEW</t>
  </si>
  <si>
    <t>Final Approval After Test</t>
  </si>
  <si>
    <t>Owner accepts</t>
  </si>
  <si>
    <t>Review code, owner tests, documents, cleanup and learning summary</t>
  </si>
  <si>
    <t>Column N</t>
  </si>
  <si>
    <t>Owner approves</t>
  </si>
  <si>
    <t>No further mutation</t>
  </si>
  <si>
    <t>APPROVED FOR USER TRACKER UPDATE</t>
  </si>
  <si>
    <t>Weekly Learning</t>
  </si>
  <si>
    <t>Business story, technical deep-dive, layman analogy, decisions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</si>
  <si>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</si>
  <si>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</si>
  <si>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</si>
  <si>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</si>
  <si>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</si>
  <si>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</si>
  <si>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</si>
  <si>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</si>
  <si>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</si>
  <si>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</si>
  <si>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</si>
  <si>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</si>
  <si>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</si>
  <si>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</si>
  <si>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</si>
  <si>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</si>
  <si>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</si>
  <si>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</si>
  <si>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</si>
  <si>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</si>
  <si>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</si>
  <si>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</si>
  <si>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</si>
  <si>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</si>
  <si>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</si>
  <si>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</si>
  <si>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</si>
  <si>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</si>
  <si>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</si>
  <si>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</si>
  <si>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</si>
  <si>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</si>
  <si>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</si>
  <si>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</si>
  <si>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</si>
  <si>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</si>
  <si>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</si>
  <si>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</si>
  <si>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</si>
  <si>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</si>
  <si>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</si>
  <si>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</si>
  <si>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</si>
  <si>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</si>
  <si>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</si>
  <si>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</si>
  <si>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</si>
  <si>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</si>
  <si>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</si>
  <si>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</si>
  <si>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</si>
  <si>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</si>
  <si>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SIMPLE THREE-STAGE OWNER-CONTROLLED WORKFLOW — TRACKER v1.3.0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FINAL OWNER-LED DOCUMENT BOUNDARY — THIS SECTION SUPERSEDES EVERY CONFLICTING INSTRUCTION ABOVE
This is a documentation/decision task for W1-MVP-001;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W1-MVP-001. Stop for Column N final approval.</t>
  </si>
  <si>
    <t>SIMPLE THREE-STAGE OWNER-CONTROLLED WORKFLOW — TRACKER v1.3.0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FINAL OWNER-LED DOCUMENT BOUNDARY — THIS SECTION SUPERSEDES EVERY CONFLICTING INSTRUCTION ABOVE
This is a documentation/decision task for W1-GOV-001;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W1-GOV-001. Stop for Column N final approval.</t>
  </si>
  <si>
    <t>SIMPLE THREE-STAGE OWNER-CONTROLLED WORKFLOW — TRACKER v1.3.0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v1.3.0 CLARIFICATION
Use repository name enterprise-ai-platform. README must document: PLAN in the Main Prompt → owner Pre-Edit Approval → implementation/evidence → independent TEST-001 → owner Final Approval → user tracker update. Do not implement RAG in this prompt.
FINAL OWNER-LED EXECUTION BOUNDARY — THIS SECTION SUPERSEDES EVERY CONFLICTING INSTRUCTION ABOVE
This boundary applies to W1-001.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</si>
  <si>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FINAL OWNER-LED EXECUTION BOUNDARY — THIS SECTION SUPERSEDES EVERY CONFLICTING INSTRUCTION ABOVE
This boundary applies to W1-002.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</si>
  <si>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FINAL OWNER-LED EXECUTION BOUNDARY — THIS SECTION SUPERSEDES EVERY CONFLICTING INSTRUCTION ABOVE
This boundary applies to W1-003.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</si>
  <si>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FINAL OWNER-LED EXECUTION BOUNDARY — THIS SECTION SUPERSEDES EVERY CONFLICTING INSTRUCTION ABOVE
This boundary applies to W1-004.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</si>
  <si>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v1.1.2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v1.3.0 CLARIFICATION
Include at least 25 versioned golden JSONL cases with question, expected facts, expected source IDs, tenant and safety tags. Validate schema and privacy; never silently alter approved expected facts.
SCOPED v1.1.2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FINAL OWNER-LED EXECUTION BOUNDARY — THIS SECTION SUPERSEDES EVERY CONFLICTING INSTRUCTION ABOVE
This boundary applies to W3-002.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</si>
  <si>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FINAL OWNER-LED EXECUTION BOUNDARY — THIS SECTION SUPERSEDES EVERY CONFLICTING INSTRUCTION ABOVE
This boundary applies to ST-001.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</si>
  <si>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FINAL OWNER-LED EXECUTION BOUNDARY — THIS SECTION SUPERSEDES EVERY CONFLICTING INSTRUCTION ABOVE
This boundary applies to ST-002.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</si>
  <si>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 xml:space="preserve">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Write only approved business-first documentation and factual evidence from owner-provided results. Clearly distinguish PASS, FAIL, NOT RUN and pending work. Do not edit code or run commands.
STAGE 5 — COLUMN N / FINAL APPROVAL AND DOCUMENTATION CLOSURE
After the owner gives Final Approval After Owner Test, update only the exact documentation files previously created or modified under that task’s Column M Document Writing Approval. Record the final approval, accepted risks, evidence gaps, deferred work, NOT RUN items, rollback/teardown outcome, residual resources and next-task handover. Do not modify code, configuration, infrastructure-as-code, schemas or automated tests. Do not run commands, tests, deployment, remediation, rollback or teardown. Do not edit task progress, status, evidence or any other owner-managed Excel tracker field. The owner updates Excel after documentation closure.</t>
  </si>
  <si>
    <t xml:space="preserve">Use Column N only after reviewing owner-executed results, approved documentation, rollback/cleanup and the learning summary. Codex then performs only the bounded final-documentation closure; the owner updates Excel afterward.</t>
  </si>
  <si>
    <t xml:space="preserve">COLUMN N — FINAL APPROVAL AND DOCUMENTATION CLOSURE — W1-MVP-001
I reviewed the W1-MVP-001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W1-MVP-001.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`docs/test-evidence/W1-MVP-001.md`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W1-MVP-001.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W1-MVP-001.
Then stop. Do not begin another prompt.</t>
  </si>
  <si>
    <t xml:space="preserve">COLUMN N — FINAL APPROVAL AND DOCUMENTATION CLOSURE — W1-GOV-001
I reviewed the W1-GOV-001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W1-GOV-001.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`docs/test-evidence/W1-GOV-001.md`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W1-GOV-001.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W1-GOV-001.
Then stop. Do not begin another prompt.</t>
  </si>
  <si>
    <t xml:space="preserve">COLUMN N — FINAL APPROVAL AND DOCUMENTATION CLOSURE — W1-001
I reviewed the W1-001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W1-001.
Then stop. Do not begin another prompt.</t>
  </si>
  <si>
    <t xml:space="preserve">COLUMN N — FINAL APPROVAL AND DOCUMENTATION CLOSURE — W1-002
I reviewed the W1-002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W1-002.
Then stop. Do not begin another prompt.</t>
  </si>
  <si>
    <t xml:space="preserve">COLUMN N — FINAL APPROVAL AND DOCUMENTATION CLOSURE — W1-003
I reviewed the W1-003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W1-003.
Then stop. Do not begin another prompt.</t>
  </si>
  <si>
    <t xml:space="preserve">COLUMN N — FINAL APPROVAL AND DOCUMENTATION CLOSURE — W1-004
I reviewed the W1-004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W1-004.
Then stop. Do not begin another prompt.</t>
  </si>
  <si>
    <t xml:space="preserve">COLUMN N — FINAL APPROVAL AND DOCUMENTATION CLOSURE — W2-001
I reviewed the W2-001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W2-001.
Then stop. Do not begin another prompt.</t>
  </si>
  <si>
    <t xml:space="preserve">COLUMN N — FINAL APPROVAL AND DOCUMENTATION CLOSURE — W2-002
I reviewed the W2-002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W2-002.
Then stop. Do not begin another prompt.</t>
  </si>
  <si>
    <t xml:space="preserve">COLUMN N — FINAL APPROVAL AND DOCUMENTATION CLOSURE — W2-003
I reviewed the W2-003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W2-003.
Then stop. Do not begin another prompt.</t>
  </si>
  <si>
    <t xml:space="preserve">COLUMN N — FINAL APPROVAL AND DOCUMENTATION CLOSURE — W2-004
I reviewed the W2-004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W2-004.
Then stop. Do not begin another prompt.</t>
  </si>
  <si>
    <t xml:space="preserve">COLUMN N — FINAL APPROVAL AND DOCUMENTATION CLOSURE — W3-001
I reviewed the W3-001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W3-001.
Then stop. Do not begin another prompt.</t>
  </si>
  <si>
    <t xml:space="preserve">COLUMN N — FINAL APPROVAL AND DOCUMENTATION CLOSURE — W3-002
I reviewed the W3-002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W3-002.
Then stop. Do not begin another prompt.</t>
  </si>
  <si>
    <t xml:space="preserve">COLUMN N — FINAL APPROVAL AND DOCUMENTATION CLOSURE — W3-003
I reviewed the W3-003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W3-003.
Then stop. Do not begin another prompt.</t>
  </si>
  <si>
    <t xml:space="preserve">COLUMN N — FINAL APPROVAL AND DOCUMENTATION CLOSURE — W3-ROLLBACK-001
I reviewed the W3-ROLLBACK-001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W3-ROLLBACK-001.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`docs/test-evidence/W3-ROLLBACK-001.md`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W3-ROLLBACK-001.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W3-ROLLBACK-001.
Then stop. Do not begin another prompt.</t>
  </si>
  <si>
    <t xml:space="preserve">COLUMN N — FINAL APPROVAL AND DOCUMENTATION CLOSURE — W4-001
I reviewed the W4-001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W4-001.
Then stop. Do not begin another prompt.</t>
  </si>
  <si>
    <t xml:space="preserve">COLUMN N — FINAL APPROVAL AND DOCUMENTATION CLOSURE — W4-002
I reviewed the W4-002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W4-002.
Then stop. Do not begin another prompt.</t>
  </si>
  <si>
    <t xml:space="preserve">COLUMN N — FINAL APPROVAL AND DOCUMENTATION CLOSURE — W4-003
I reviewed the W4-003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W4-003.
Then stop. Do not begin another prompt.</t>
  </si>
  <si>
    <t xml:space="preserve">COLUMN N — FINAL APPROVAL AND DOCUMENTATION CLOSURE — W4-ROLLBACK-001
I reviewed the W4-ROLLBACK-001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W4-ROLLBACK-001.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`docs/test-evidence/W4-ROLLBACK-001.md`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W4-ROLLBACK-001.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W4-ROLLBACK-001.
Then stop. Do not begin another prompt.</t>
  </si>
  <si>
    <t xml:space="preserve">COLUMN N — FINAL APPROVAL AND DOCUMENTATION CLOSURE — W5-INPUTS-001
I reviewed the W5-INPUTS-001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W5-INPUTS-001.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`docs/test-evidence/W5-INPUTS-001.md`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W5-INPUTS-001.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W5-INPUTS-001.
Then stop. Do not begin another prompt.</t>
  </si>
  <si>
    <t xml:space="preserve">COLUMN N — FINAL APPROVAL AND DOCUMENTATION CLOSURE — W5-001
I reviewed the W5-001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W5-001.
Then stop. Do not begin another prompt.</t>
  </si>
  <si>
    <t xml:space="preserve">COLUMN N — FINAL APPROVAL AND DOCUMENTATION CLOSURE — W5-002
I reviewed the W5-002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W5-002.
Then stop. Do not begin another prompt.</t>
  </si>
  <si>
    <t xml:space="preserve">COLUMN N — FINAL APPROVAL AND DOCUMENTATION CLOSURE — W5-003
I reviewed the W5-003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W5-003.
Then stop. Do not begin another prompt.</t>
  </si>
  <si>
    <t xml:space="preserve">COLUMN N — FINAL APPROVAL AND DOCUMENTATION CLOSURE — W5-004
I reviewed the W5-004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W5-004.
Then stop. Do not begin another prompt.</t>
  </si>
  <si>
    <t xml:space="preserve">COLUMN N — FINAL APPROVAL AND DOCUMENTATION CLOSURE — W6-001
I reviewed the W6-001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W6-001.
Then stop. Do not begin another prompt.</t>
  </si>
  <si>
    <t xml:space="preserve">COLUMN N — FINAL APPROVAL AND DOCUMENTATION CLOSURE — W6-002
I reviewed the W6-002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W6-002.
Then stop. Do not begin another prompt.</t>
  </si>
  <si>
    <t xml:space="preserve">COLUMN N — FINAL APPROVAL AND DOCUMENTATION CLOSURE — W6-003
I reviewed the W6-003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W6-003.
Then stop. Do not begin another prompt.</t>
  </si>
  <si>
    <t xml:space="preserve">COLUMN N — FINAL APPROVAL AND DOCUMENTATION CLOSURE — WEEKLY-REVIEW-001
I reviewed the WEEKLY-REVIEW-001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WEEKLY-REVIEW-001.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`docs/test-evidence/WEEKLY-REVIEW-001.md`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WEEKLY-REVIEW-001.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WEEKLY-REVIEW-001.
Then stop. Do not begin another prompt.</t>
  </si>
  <si>
    <t xml:space="preserve">COLUMN N — FINAL APPROVAL AND DOCUMENTATION CLOSURE — ST-001
I reviewed the ST-001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ST-001.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`docs/test-evidence/ST-001.md`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ST-001.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ST-001.
Then stop. Do not begin another prompt.</t>
  </si>
  <si>
    <t xml:space="preserve">COLUMN N — FINAL APPROVAL AND DOCUMENTATION CLOSURE — ST-002
I reviewed the ST-002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ST-002.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`docs/test-evidence/ST-002.md`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ST-002.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ST-002.
Then stop. Do not begin another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</si>
</sst>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0">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xf numFmtId="0" fontId="1" fillId="10" borderId="0" xfId="0" applyFont="1" applyFill="1" applyAlignment="1">
      <alignment vertical="top"/>
    </xf>
    <xf numFmtId="0" fontId="1" fillId="10" borderId="0" xfId="0" applyFont="1" applyFill="1" applyAlignment="1">
      <alignment vertical="top"/>
    </xf>
    <xf numFmtId="0" fontId="2" fillId="11" borderId="0" xfId="0" applyFont="1" applyFill="1" applyAlignment="1">
      <alignment vertical="top" wrapText="1"/>
    </xf>
    <xf numFmtId="0" fontId="2" fillId="11" borderId="0" xfId="0" applyFont="1" applyFill="1" applyAlignment="1">
      <alignment vertical="top" wrapText="1"/>
    </xf>
    <xf numFmtId="0" fontId="3" fillId="12" borderId="15" xfId="0" applyFont="1" applyFill="1" applyBorder="1" applyAlignment="1">
      <alignment vertical="top" wrapText="1"/>
    </xf>
  </cellXfs>
  <cellStyles count="1">
    <cellStyle name="Normal" xfId="0" builtinId="0"/>
  </cellStyles>
  <dxfs count="63">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0.92307692307692313</c:v>
                </c:pt>
                <c:pt idx="1">
                  <c:v>0</c:v>
                </c:pt>
                <c:pt idx="2">
                  <c:v>0</c:v>
                </c:pt>
                <c:pt idx="3">
                  <c:v>0</c:v>
                </c:pt>
                <c:pt idx="4">
                  <c:v>0</c:v>
                </c:pt>
                <c:pt idx="5">
                  <c:v>0</c:v>
                </c:pt>
              </c:numCache>
            </c:numRef>
          </c:val>
          <c:extLst>
            <c:ext xmlns:c16="http://schemas.microsoft.com/office/drawing/2014/chart" uri="{C3380CC4-5D6E-409C-BE32-E72D297353CC}">
              <c16:uniqueId val="{00000000-1A71-462B-BD2E-E8534DFC8A3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0">
      <filters>
        <filter val="W1-01"/>
        <filter val="W1-02"/>
        <filter val="W1-03"/>
        <filter val="W1-04"/>
        <filter val="W1-05"/>
        <filter val="W1-06"/>
        <filter val="W1-07"/>
        <filter val="W1-08"/>
        <filter val="W1-09"/>
        <filter val="W1-10"/>
        <filter val="W1-11"/>
        <filter val="W1-12"/>
      </filters>
    </filterColumn>
    <filterColumn colId="9">
      <filters>
        <filter val="W1-001"/>
        <filter val="W1-002"/>
        <filter val="W1-003"/>
        <filter val="W1-004"/>
        <filter val="W1-GOV-001"/>
        <filter val="W1-MVP-001"/>
        <filter val="WEEKLY-REVIEW-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2" totalsRowShown="0">
  <autoFilter ref="A9:O22" xr:uid="{00000000-0009-0000-0100-000002000000}"/>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2" totalsRowShown="0">
  <autoFilter ref="A9:O22" xr:uid="{00000000-0009-0000-0100-000003000000}">
    <filterColumn colId="8">
      <filters>
        <filter val="W2-LEARN-001"/>
      </filters>
    </filterColumn>
  </autoFilter>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2" totalsRowShown="0">
  <autoFilter ref="A9:O22"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2" totalsRowShown="0">
  <autoFilter ref="A9:O22"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3" totalsRowShown="0">
  <autoFilter ref="A9:O23"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3" totalsRowShown="0">
  <autoFilter ref="A9:O23"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M40" totalsRowShown="0" headerRowDxfId="1" dataDxfId="0">
  <tableColumns count="13">
    <tableColumn id="1" xr3:uid="{00000000-0010-0000-0800-000001000000}" name="Prompt ID" dataDxfId="14"/>
    <tableColumn id="2" xr3:uid="{00000000-0010-0000-0800-000002000000}" name="Week" dataDxfId="13"/>
    <tableColumn id="3" xr3:uid="{00000000-0010-0000-0800-000003000000}" name="Feature" dataDxfId="12"/>
    <tableColumn id="4" xr3:uid="{00000000-0010-0000-0800-000004000000}" name="Purpose" dataDxfId="11"/>
    <tableColumn id="5" xr3:uid="{00000000-0010-0000-0800-000005000000}" name="Required Inputs" dataDxfId="10"/>
    <tableColumn id="6" xr3:uid="{00000000-0010-0000-0800-000006000000}" name="Expected Outputs" dataDxfId="9"/>
    <tableColumn id="7" xr3:uid="{00000000-0010-0000-0800-000007000000}" name="Main Prompt (paste first)" dataDxfId="8"/>
    <tableColumn id="8" xr3:uid="{00000000-0010-0000-0800-000008000000}" name="Example Usage" dataDxfId="7"/>
    <tableColumn id="9" xr3:uid="{00000000-0010-0000-0800-000009000000}" name="Verification / Stop Point" dataDxfId="6"/>
    <tableColumn id="10" xr3:uid="{00000000-0010-0000-0800-00000A000000}" name="Owner Approval" dataDxfId="5"/>
    <tableColumn id="11" xr3:uid="{00000000-0010-0000-0800-00000B000000}" name="Covered Tracker Steps" dataDxfId="4"/>
    <tableColumn id="12" xr3:uid="{00000000-0010-0000-0800-00000C000000}" name="Code Edit Approval Prompt" dataDxfId="3"/>
    <tableColumn id="13" xr3:uid="{00000000-0010-0000-0800-00000D000000}" name="Document Writing Approval Prompt"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2"/>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51" t="s">
        <v>1340</v>
      </c>
      <c r="B1" s="51"/>
      <c r="C1" s="51"/>
      <c r="D1" s="51"/>
      <c r="E1" s="51"/>
      <c r="F1" s="51"/>
      <c r="G1" s="51"/>
      <c r="H1" s="51"/>
      <c r="I1" s="51"/>
      <c r="J1" s="51"/>
    </row>
    <row r="2" spans="1:10">
      <c r="A2" s="52" t="s">
        <v>1341</v>
      </c>
      <c r="B2" s="52"/>
      <c r="C2" s="52"/>
      <c r="D2" s="52"/>
      <c r="E2" s="52"/>
      <c r="F2" s="52"/>
      <c r="G2" s="52"/>
      <c r="H2" s="52"/>
      <c r="I2" s="52"/>
      <c r="J2" s="52"/>
    </row>
    <row r="4" spans="1:10">
      <c r="A4" s="53" t="s">
        <v>0</v>
      </c>
      <c r="B4" s="54"/>
      <c r="C4" s="54"/>
      <c r="D4" s="54"/>
      <c r="E4" s="53" t="s">
        <v>1</v>
      </c>
      <c r="F4" s="54"/>
      <c r="G4" s="54"/>
      <c r="H4" s="54"/>
      <c r="I4" s="54"/>
      <c r="J4" s="55"/>
    </row>
    <row r="5" spans="1:10" ht="39.6">
      <c r="A5" s="21">
        <v>1</v>
      </c>
      <c r="B5" s="4" t="s">
        <v>1342</v>
      </c>
      <c r="C5" s="4" t="s">
        <v>1343</v>
      </c>
      <c r="E5" s="56" t="s">
        <v>2</v>
      </c>
      <c r="F5" s="57"/>
      <c r="G5" s="57"/>
      <c r="H5" s="57"/>
      <c r="I5" s="57"/>
      <c r="J5" s="58"/>
    </row>
    <row r="6" spans="1:10" ht="39.6">
      <c r="A6" s="21">
        <v>2</v>
      </c>
      <c r="B6" s="5" t="s">
        <v>1344</v>
      </c>
      <c r="C6" s="5" t="s">
        <v>1345</v>
      </c>
      <c r="E6" s="59" t="s">
        <v>3</v>
      </c>
      <c r="F6" s="60"/>
      <c r="G6" s="60"/>
      <c r="H6" s="60"/>
      <c r="I6" s="60"/>
      <c r="J6" s="61"/>
    </row>
    <row r="7" spans="1:10" ht="52.8">
      <c r="A7" s="21">
        <v>3</v>
      </c>
      <c r="B7" s="5" t="s">
        <v>1346</v>
      </c>
      <c r="C7" s="5" t="s">
        <v>1347</v>
      </c>
      <c r="E7" s="59" t="s">
        <v>4</v>
      </c>
      <c r="F7" s="60"/>
      <c r="G7" s="60"/>
      <c r="H7" s="60"/>
      <c r="I7" s="60"/>
      <c r="J7" s="61"/>
    </row>
    <row r="8" spans="1:10" ht="52.8">
      <c r="A8" s="21">
        <v>4</v>
      </c>
      <c r="B8" s="5" t="s">
        <v>1348</v>
      </c>
      <c r="C8" s="5" t="s">
        <v>1349</v>
      </c>
      <c r="E8" s="59" t="s">
        <v>1350</v>
      </c>
      <c r="F8" s="60"/>
      <c r="G8" s="60"/>
      <c r="H8" s="60"/>
      <c r="I8" s="60"/>
      <c r="J8" s="61"/>
    </row>
    <row r="9" spans="1:10" ht="52.8">
      <c r="A9" s="21">
        <v>5</v>
      </c>
      <c r="B9" s="5" t="s">
        <v>1351</v>
      </c>
      <c r="C9" s="5" t="s">
        <v>1352</v>
      </c>
      <c r="E9" s="59" t="s">
        <v>1353</v>
      </c>
      <c r="F9" s="60"/>
      <c r="G9" s="60"/>
      <c r="H9" s="60"/>
      <c r="I9" s="60"/>
      <c r="J9" s="61"/>
    </row>
    <row r="10" spans="1:10" ht="66">
      <c r="A10" s="21">
        <v>6</v>
      </c>
      <c r="B10" s="5" t="s">
        <v>1354</v>
      </c>
      <c r="C10" s="5" t="s">
        <v>1355</v>
      </c>
      <c r="E10" s="59" t="s">
        <v>1356</v>
      </c>
      <c r="F10" s="60"/>
      <c r="G10" s="60"/>
      <c r="H10" s="60"/>
      <c r="I10" s="60"/>
      <c r="J10" s="61"/>
    </row>
    <row r="11" spans="1:10" ht="66">
      <c r="A11" s="21">
        <v>7</v>
      </c>
      <c r="B11" s="5" t="s">
        <v>1357</v>
      </c>
      <c r="C11" s="5" t="s">
        <v>1358</v>
      </c>
      <c r="E11" s="68" t="s">
        <v>1359</v>
      </c>
      <c r="F11" s="69"/>
      <c r="G11" s="69"/>
      <c r="H11" s="69"/>
      <c r="I11" s="69"/>
      <c r="J11" s="70"/>
    </row>
    <row r="12" spans="1:10" ht="52.8">
      <c r="A12" s="21">
        <v>8</v>
      </c>
      <c r="B12" s="5" t="s">
        <v>1360</v>
      </c>
      <c r="C12" s="5" t="s">
        <v>1361</v>
      </c>
      <c r="E12" t="s">
        <v>1362</v>
      </c>
    </row>
    <row r="13" spans="1:10" ht="66">
      <c r="A13" s="21">
        <v>9</v>
      </c>
      <c r="B13" s="5" t="s">
        <v>1363</v>
      </c>
      <c r="C13" s="5" t="s">
        <v>2566</v>
      </c>
      <c r="E13" s="53" t="s">
        <v>5</v>
      </c>
      <c r="F13" s="54"/>
      <c r="G13" s="54"/>
      <c r="H13" s="54"/>
      <c r="I13" s="54"/>
      <c r="J13" s="55"/>
    </row>
    <row r="14" spans="1:10" ht="79.2">
      <c r="A14" s="21">
        <v>10</v>
      </c>
      <c r="B14" s="6" t="s">
        <v>1365</v>
      </c>
      <c r="C14" s="6" t="s">
        <v>1366</v>
      </c>
      <c r="E14" s="7" t="s">
        <v>6</v>
      </c>
      <c r="F14" s="9"/>
    </row>
    <row r="15" spans="1:10">
      <c r="E15" s="7" t="s">
        <v>7</v>
      </c>
      <c r="F15" s="8" t="s">
        <v>8</v>
      </c>
    </row>
    <row r="16" spans="1:10">
      <c r="E16" s="7" t="s">
        <v>9</v>
      </c>
      <c r="F16" s="8" t="s">
        <v>10</v>
      </c>
    </row>
    <row r="17" spans="1:10">
      <c r="E17" s="7" t="s">
        <v>11</v>
      </c>
      <c r="F17" s="8" t="s">
        <v>12</v>
      </c>
    </row>
    <row r="18" spans="1:10">
      <c r="E18" t="s">
        <v>1367</v>
      </c>
      <c r="F18" t="s">
        <v>1368</v>
      </c>
    </row>
    <row r="19" spans="1:10">
      <c r="A19" s="62" t="s">
        <v>1369</v>
      </c>
      <c r="B19" s="63"/>
      <c r="C19" s="63"/>
      <c r="D19" s="63"/>
      <c r="E19" s="63"/>
      <c r="F19" s="63"/>
      <c r="G19" s="63"/>
      <c r="H19" s="63"/>
      <c r="I19" s="63"/>
      <c r="J19" s="64"/>
    </row>
    <row r="20" spans="1:10">
      <c r="A20" s="65"/>
      <c r="B20" s="66"/>
      <c r="C20" s="66"/>
      <c r="D20" s="66"/>
      <c r="E20" s="66"/>
      <c r="F20" s="66"/>
      <c r="G20" s="66"/>
      <c r="H20" s="66"/>
      <c r="I20" s="66"/>
      <c r="J20" s="67"/>
    </row>
  </sheetData>
  <mergeCells count="12">
    <mergeCell ref="E13:J13"/>
    <mergeCell ref="A19:J20"/>
    <mergeCell ref="E7:J7"/>
    <mergeCell ref="E8:J8"/>
    <mergeCell ref="E9:J9"/>
    <mergeCell ref="E10:J10"/>
    <mergeCell ref="E11:J11"/>
    <mergeCell ref="A1:J1"/>
    <mergeCell ref="A2:J2"/>
    <mergeCell ref="A4:J4"/>
    <mergeCell ref="E5:J5"/>
    <mergeCell ref="E6:J6"/>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workbookViewId="0"/>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51" t="s">
        <v>13</v>
      </c>
      <c r="B1" s="51"/>
      <c r="C1" s="51"/>
      <c r="D1" s="51"/>
      <c r="E1" s="51"/>
      <c r="F1" s="51"/>
      <c r="G1" s="51"/>
      <c r="H1" s="51"/>
      <c r="I1" s="51"/>
      <c r="J1" s="51"/>
      <c r="K1" s="51"/>
      <c r="L1" s="51"/>
      <c r="M1" s="51"/>
      <c r="N1" s="51"/>
      <c r="O1" s="51"/>
      <c r="P1" s="51"/>
    </row>
    <row r="2" spans="1:16" ht="31.95" customHeight="1">
      <c r="A2" s="52" t="s">
        <v>1370</v>
      </c>
      <c r="B2" s="52"/>
      <c r="C2" s="52"/>
      <c r="D2" s="52"/>
      <c r="E2" s="52"/>
      <c r="F2" s="52"/>
      <c r="G2" s="52"/>
      <c r="H2" s="52"/>
      <c r="I2" s="52"/>
      <c r="J2" s="52"/>
      <c r="K2" s="52"/>
      <c r="L2" s="52"/>
      <c r="M2" s="52"/>
      <c r="N2" s="52"/>
      <c r="O2" s="52"/>
      <c r="P2" s="52"/>
    </row>
    <row r="4" spans="1:16">
      <c r="A4" s="71" t="s">
        <v>14</v>
      </c>
      <c r="B4" s="71"/>
      <c r="D4" s="71" t="s">
        <v>15</v>
      </c>
      <c r="E4" s="71"/>
      <c r="G4" s="71" t="s">
        <v>16</v>
      </c>
      <c r="H4" s="71"/>
      <c r="J4" s="71" t="s">
        <v>17</v>
      </c>
      <c r="K4" s="71"/>
    </row>
    <row r="5" spans="1:16">
      <c r="A5" s="72">
        <f>COUNTA('02 Master Plan'!$A$6:$A$120)</f>
        <v>80</v>
      </c>
      <c r="B5" s="73"/>
      <c r="D5" s="72">
        <f>COUNTIF('02 Master Plan'!$S$6:$S$120,"Done")</f>
        <v>12</v>
      </c>
      <c r="E5" s="73"/>
      <c r="G5" s="76">
        <f>IF(A5=0,0,D5/A5)</f>
        <v>0.15</v>
      </c>
      <c r="H5" s="77"/>
      <c r="J5" s="72">
        <f>COUNTIF('02 Master Plan'!$S$6:$S$120,"Blocked")</f>
        <v>0</v>
      </c>
      <c r="K5" s="73"/>
    </row>
    <row r="6" spans="1:16">
      <c r="A6" s="74"/>
      <c r="B6" s="75"/>
      <c r="D6" s="74"/>
      <c r="E6" s="75"/>
      <c r="G6" s="78"/>
      <c r="H6" s="79"/>
      <c r="J6" s="74"/>
      <c r="K6" s="75"/>
    </row>
    <row r="7" spans="1:16">
      <c r="A7" s="71" t="s">
        <v>18</v>
      </c>
      <c r="B7" s="71"/>
      <c r="D7" s="71" t="s">
        <v>19</v>
      </c>
      <c r="E7" s="71"/>
      <c r="G7" s="71" t="s">
        <v>20</v>
      </c>
      <c r="H7" s="71"/>
      <c r="J7" s="71" t="s">
        <v>21</v>
      </c>
      <c r="K7" s="71"/>
    </row>
    <row r="8" spans="1:16">
      <c r="A8" s="72">
        <f>COUNTIFS('13 Owner TODOs'!$F$6:$F$80,"&lt;&gt;Done",'13 Owner TODOs'!$A$6:$A$80,"&lt;&gt;")</f>
        <v>19</v>
      </c>
      <c r="B8" s="73"/>
      <c r="D8" s="72">
        <f>COUNTIF('11 Test Evidence'!$H$6:$H$80,"Pass")</f>
        <v>6</v>
      </c>
      <c r="E8" s="73"/>
      <c r="G8" s="72">
        <f>COUNTIF('12 Decision Log'!$C$6:$C$60,"Baseline Approved")+COUNTIF('12 Decision Log'!$C$6:$C$60,"Approved")</f>
        <v>18</v>
      </c>
      <c r="H8" s="73"/>
      <c r="J8" s="72">
        <f>COUNTIFS('11 Test Evidence'!$C$6:$C$80,"Teardown",'11 Test Evidence'!$H$6:$H$80,"Pass")</f>
        <v>1</v>
      </c>
      <c r="K8" s="73"/>
    </row>
    <row r="9" spans="1:16">
      <c r="A9" s="74"/>
      <c r="B9" s="75"/>
      <c r="D9" s="74"/>
      <c r="E9" s="75"/>
      <c r="G9" s="74"/>
      <c r="H9" s="75"/>
      <c r="J9" s="74"/>
      <c r="K9" s="75"/>
    </row>
    <row r="12" spans="1:16" ht="28.05" customHeight="1">
      <c r="A12" s="1" t="s">
        <v>22</v>
      </c>
      <c r="B12" s="2" t="s">
        <v>23</v>
      </c>
      <c r="C12" s="2" t="s">
        <v>15</v>
      </c>
      <c r="D12" s="2" t="s">
        <v>24</v>
      </c>
      <c r="E12" s="3" t="s">
        <v>17</v>
      </c>
      <c r="G12" s="1" t="s">
        <v>22</v>
      </c>
      <c r="H12" s="3" t="s">
        <v>24</v>
      </c>
    </row>
    <row r="13" spans="1:16">
      <c r="A13" s="10" t="s">
        <v>10</v>
      </c>
      <c r="B13" s="10">
        <f>COUNTIF('02 Master Plan'!$B$6:$B$120,A13)</f>
        <v>13</v>
      </c>
      <c r="C13" s="10">
        <f>COUNTIFS('02 Master Plan'!$B$6:$B$120,A13,'02 Master Plan'!$S$6:$S$120,"Done")</f>
        <v>12</v>
      </c>
      <c r="D13" s="12">
        <f t="shared" ref="D13:D18" si="0">IF(B13=0,0,C13/B13)</f>
        <v>0.92307692307692313</v>
      </c>
      <c r="E13" s="10">
        <f>COUNTIFS('02 Master Plan'!$B$6:$B$120,A13,'02 Master Plan'!$S$6:$S$120,"Blocked")</f>
        <v>0</v>
      </c>
      <c r="G13" t="str">
        <f t="shared" ref="G13:G18" si="1">A13</f>
        <v>Week 1</v>
      </c>
      <c r="H13" s="14">
        <f t="shared" ref="H13:H18" si="2">D13</f>
        <v>0.92307692307692313</v>
      </c>
    </row>
    <row r="14" spans="1:16">
      <c r="A14" s="11" t="s">
        <v>25</v>
      </c>
      <c r="B14" s="11">
        <f>COUNTIF('02 Master Plan'!$B$6:$B$120,A14)</f>
        <v>13</v>
      </c>
      <c r="C14" s="11">
        <f>COUNTIFS('02 Master Plan'!$B$6:$B$120,A14,'02 Master Plan'!$S$6:$S$120,"Done")</f>
        <v>0</v>
      </c>
      <c r="D14" s="13">
        <f t="shared" si="0"/>
        <v>0</v>
      </c>
      <c r="E14" s="11">
        <f>COUNTIFS('02 Master Plan'!$B$6:$B$120,A14,'02 Master Plan'!$S$6:$S$120,"Blocked")</f>
        <v>0</v>
      </c>
      <c r="G14" t="str">
        <f t="shared" si="1"/>
        <v>Week 2</v>
      </c>
      <c r="H14" s="14">
        <f t="shared" si="2"/>
        <v>0</v>
      </c>
    </row>
    <row r="15" spans="1:16">
      <c r="A15" s="11" t="s">
        <v>26</v>
      </c>
      <c r="B15" s="11">
        <f>COUNTIF('02 Master Plan'!$B$6:$B$120,A15)</f>
        <v>13</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27</v>
      </c>
      <c r="B16" s="11">
        <f>COUNTIF('02 Master Plan'!$B$6:$B$120,A16)</f>
        <v>13</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28</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29</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3" t="s">
        <v>30</v>
      </c>
      <c r="B21" s="54"/>
      <c r="C21" s="54"/>
      <c r="D21" s="54"/>
      <c r="E21" s="54"/>
      <c r="F21" s="54"/>
      <c r="G21" s="54"/>
      <c r="H21" s="55"/>
    </row>
    <row r="22" spans="1:8" ht="30" customHeight="1">
      <c r="A22" s="86" t="s">
        <v>31</v>
      </c>
      <c r="B22" s="87"/>
      <c r="C22" s="87"/>
      <c r="D22" s="87"/>
      <c r="E22" s="87"/>
      <c r="F22" s="87"/>
      <c r="G22" s="87"/>
      <c r="H22" s="88"/>
    </row>
    <row r="23" spans="1:8" ht="30" customHeight="1">
      <c r="A23" s="80" t="s">
        <v>32</v>
      </c>
      <c r="B23" s="81"/>
      <c r="C23" s="81"/>
      <c r="D23" s="81"/>
      <c r="E23" s="81"/>
      <c r="F23" s="81"/>
      <c r="G23" s="81"/>
      <c r="H23" s="82"/>
    </row>
    <row r="24" spans="1:8" ht="30" customHeight="1">
      <c r="A24" s="80" t="s">
        <v>1371</v>
      </c>
      <c r="B24" s="81"/>
      <c r="C24" s="81"/>
      <c r="D24" s="81"/>
      <c r="E24" s="81"/>
      <c r="F24" s="81"/>
      <c r="G24" s="81"/>
      <c r="H24" s="82"/>
    </row>
    <row r="25" spans="1:8" ht="30" customHeight="1">
      <c r="A25" s="80" t="s">
        <v>1372</v>
      </c>
      <c r="B25" s="81"/>
      <c r="C25" s="81"/>
      <c r="D25" s="81"/>
      <c r="E25" s="81"/>
      <c r="F25" s="81"/>
      <c r="G25" s="81"/>
      <c r="H25" s="82"/>
    </row>
    <row r="26" spans="1:8" ht="30" customHeight="1">
      <c r="A26" s="83" t="s">
        <v>33</v>
      </c>
      <c r="B26" s="84"/>
      <c r="C26" s="84"/>
      <c r="D26" s="84"/>
      <c r="E26" s="84"/>
      <c r="F26" s="84"/>
      <c r="G26" s="84"/>
      <c r="H26" s="85"/>
    </row>
  </sheetData>
  <mergeCells count="24">
    <mergeCell ref="A24:H24"/>
    <mergeCell ref="A25:H25"/>
    <mergeCell ref="A26:H26"/>
    <mergeCell ref="J7:K7"/>
    <mergeCell ref="J8:K9"/>
    <mergeCell ref="A21:H21"/>
    <mergeCell ref="A22:H22"/>
    <mergeCell ref="A23:H23"/>
    <mergeCell ref="A7:B7"/>
    <mergeCell ref="A8:B9"/>
    <mergeCell ref="D7:E7"/>
    <mergeCell ref="D8:E9"/>
    <mergeCell ref="G7:H7"/>
    <mergeCell ref="G8:H9"/>
    <mergeCell ref="A1:P1"/>
    <mergeCell ref="A2:P2"/>
    <mergeCell ref="A4:B4"/>
    <mergeCell ref="A5:B6"/>
    <mergeCell ref="D4:E4"/>
    <mergeCell ref="D5:E6"/>
    <mergeCell ref="G4:H4"/>
    <mergeCell ref="G5:H6"/>
    <mergeCell ref="J4:K4"/>
    <mergeCell ref="J5:K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customWidth="1"/>
  </cols>
  <sheetData>
    <row r="1" spans="1:21" ht="31.95" customHeight="1">
      <c r="A1" s="51" t="s">
        <v>1373</v>
      </c>
      <c r="B1" s="51"/>
      <c r="C1" s="51"/>
      <c r="D1" s="51"/>
      <c r="E1" s="51"/>
      <c r="F1" s="51"/>
      <c r="G1" s="51"/>
      <c r="H1" s="51"/>
      <c r="I1" s="51"/>
      <c r="J1" s="51"/>
      <c r="K1" s="51"/>
      <c r="L1" s="51"/>
      <c r="M1" s="51"/>
      <c r="N1" s="51"/>
      <c r="O1" s="51"/>
      <c r="P1" s="51"/>
      <c r="Q1" s="51"/>
      <c r="R1" s="51"/>
      <c r="S1" s="51"/>
      <c r="T1" s="51"/>
    </row>
    <row r="2" spans="1:21" ht="31.95" customHeight="1">
      <c r="A2" s="52" t="s">
        <v>1374</v>
      </c>
      <c r="B2" s="52"/>
      <c r="C2" s="52"/>
      <c r="D2" s="52"/>
      <c r="E2" s="52"/>
      <c r="F2" s="52"/>
      <c r="G2" s="52"/>
      <c r="H2" s="52"/>
      <c r="I2" s="52"/>
      <c r="J2" s="52"/>
      <c r="K2" s="52"/>
      <c r="L2" s="52"/>
      <c r="M2" s="52"/>
      <c r="N2" s="52"/>
      <c r="O2" s="52"/>
      <c r="P2" s="52"/>
      <c r="Q2" s="52"/>
      <c r="R2" s="52"/>
      <c r="S2" s="52"/>
      <c r="T2" s="52"/>
    </row>
    <row r="5" spans="1:21" ht="28.05" customHeight="1">
      <c r="A5" s="1" t="s">
        <v>1375</v>
      </c>
      <c r="B5" s="2" t="s">
        <v>22</v>
      </c>
      <c r="C5" s="2" t="s">
        <v>1376</v>
      </c>
      <c r="D5" s="2" t="s">
        <v>884</v>
      </c>
      <c r="E5" s="2" t="s">
        <v>1377</v>
      </c>
      <c r="F5" s="2" t="s">
        <v>1378</v>
      </c>
      <c r="G5" s="2" t="s">
        <v>1379</v>
      </c>
      <c r="H5" s="2" t="s">
        <v>7</v>
      </c>
      <c r="I5" s="2" t="s">
        <v>1380</v>
      </c>
      <c r="J5" s="2" t="s">
        <v>184</v>
      </c>
      <c r="K5" s="2" t="s">
        <v>1381</v>
      </c>
      <c r="L5" s="2" t="s">
        <v>1382</v>
      </c>
      <c r="M5" s="2" t="s">
        <v>1383</v>
      </c>
      <c r="N5" s="2" t="s">
        <v>353</v>
      </c>
      <c r="O5" s="2" t="s">
        <v>354</v>
      </c>
      <c r="P5" s="2" t="s">
        <v>561</v>
      </c>
      <c r="Q5" s="2" t="s">
        <v>1384</v>
      </c>
      <c r="R5" s="2" t="s">
        <v>1385</v>
      </c>
      <c r="S5" s="2" t="s">
        <v>355</v>
      </c>
      <c r="T5" s="3" t="s">
        <v>1386</v>
      </c>
      <c r="U5" s="29" t="s">
        <v>1387</v>
      </c>
    </row>
    <row r="6" spans="1:21" ht="96.6">
      <c r="A6" s="10" t="s">
        <v>205</v>
      </c>
      <c r="B6" s="10" t="s">
        <v>10</v>
      </c>
      <c r="C6" s="10">
        <v>1</v>
      </c>
      <c r="D6" s="10" t="s">
        <v>914</v>
      </c>
      <c r="E6" s="10" t="s">
        <v>351</v>
      </c>
      <c r="F6" s="10" t="s">
        <v>1388</v>
      </c>
      <c r="G6" s="10" t="s">
        <v>1389</v>
      </c>
      <c r="H6" s="10" t="s">
        <v>577</v>
      </c>
      <c r="I6" s="15">
        <v>1</v>
      </c>
      <c r="J6" s="10" t="s">
        <v>201</v>
      </c>
      <c r="K6" s="10" t="s">
        <v>1390</v>
      </c>
      <c r="L6" s="10" t="s">
        <v>1391</v>
      </c>
      <c r="M6" s="10" t="s">
        <v>1392</v>
      </c>
      <c r="N6" s="10" t="s">
        <v>1393</v>
      </c>
      <c r="O6" s="10" t="s">
        <v>548</v>
      </c>
      <c r="P6" s="10" t="s">
        <v>570</v>
      </c>
      <c r="Q6" s="10" t="s">
        <v>1394</v>
      </c>
      <c r="R6" s="10" t="s">
        <v>1395</v>
      </c>
      <c r="S6" s="10" t="s">
        <v>15</v>
      </c>
      <c r="T6" s="10" t="s">
        <v>1396</v>
      </c>
      <c r="U6" s="29" t="s">
        <v>1397</v>
      </c>
    </row>
    <row r="7" spans="1:21" ht="96.6">
      <c r="A7" s="11" t="s">
        <v>210</v>
      </c>
      <c r="B7" s="11" t="s">
        <v>10</v>
      </c>
      <c r="C7" s="11">
        <v>2</v>
      </c>
      <c r="D7" s="11" t="s">
        <v>914</v>
      </c>
      <c r="E7" s="11" t="s">
        <v>552</v>
      </c>
      <c r="F7" s="11" t="s">
        <v>1398</v>
      </c>
      <c r="G7" s="11" t="s">
        <v>1399</v>
      </c>
      <c r="H7" s="11" t="s">
        <v>1400</v>
      </c>
      <c r="I7" s="16">
        <v>0.5</v>
      </c>
      <c r="J7" s="11" t="s">
        <v>206</v>
      </c>
      <c r="K7" s="11" t="s">
        <v>1394</v>
      </c>
      <c r="L7" s="11" t="s">
        <v>1401</v>
      </c>
      <c r="M7" s="11" t="s">
        <v>554</v>
      </c>
      <c r="N7" s="11" t="s">
        <v>1402</v>
      </c>
      <c r="O7" s="11" t="s">
        <v>556</v>
      </c>
      <c r="P7" s="11" t="s">
        <v>669</v>
      </c>
      <c r="Q7" s="11" t="s">
        <v>205</v>
      </c>
      <c r="R7" s="11" t="s">
        <v>1403</v>
      </c>
      <c r="S7" s="11" t="s">
        <v>15</v>
      </c>
      <c r="T7" s="11" t="s">
        <v>1404</v>
      </c>
      <c r="U7" s="29" t="s">
        <v>1405</v>
      </c>
    </row>
    <row r="8" spans="1:21" ht="110.4">
      <c r="A8" s="11" t="s">
        <v>1406</v>
      </c>
      <c r="B8" s="11" t="s">
        <v>10</v>
      </c>
      <c r="C8" s="11">
        <v>3</v>
      </c>
      <c r="D8" s="11" t="s">
        <v>914</v>
      </c>
      <c r="E8" s="11" t="s">
        <v>1407</v>
      </c>
      <c r="F8" s="11" t="s">
        <v>1408</v>
      </c>
      <c r="G8" s="11" t="s">
        <v>1409</v>
      </c>
      <c r="H8" s="11" t="s">
        <v>1410</v>
      </c>
      <c r="I8" s="16">
        <v>1.5</v>
      </c>
      <c r="J8" s="11" t="s">
        <v>211</v>
      </c>
      <c r="K8" s="11" t="s">
        <v>732</v>
      </c>
      <c r="L8" s="11" t="s">
        <v>1411</v>
      </c>
      <c r="M8" s="11" t="s">
        <v>1412</v>
      </c>
      <c r="N8" s="11" t="s">
        <v>1413</v>
      </c>
      <c r="O8" s="11" t="s">
        <v>1414</v>
      </c>
      <c r="P8" s="11" t="s">
        <v>669</v>
      </c>
      <c r="Q8" s="11" t="s">
        <v>210</v>
      </c>
      <c r="R8" s="11" t="s">
        <v>1415</v>
      </c>
      <c r="S8" s="11" t="s">
        <v>15</v>
      </c>
      <c r="T8" s="11" t="s">
        <v>1416</v>
      </c>
      <c r="U8" s="29" t="s">
        <v>1417</v>
      </c>
    </row>
    <row r="9" spans="1:21" ht="110.4">
      <c r="A9" s="11" t="s">
        <v>1418</v>
      </c>
      <c r="B9" s="11" t="s">
        <v>10</v>
      </c>
      <c r="C9" s="11">
        <v>4</v>
      </c>
      <c r="D9" s="11" t="s">
        <v>914</v>
      </c>
      <c r="E9" s="11" t="s">
        <v>1419</v>
      </c>
      <c r="F9" s="11" t="s">
        <v>1420</v>
      </c>
      <c r="G9" s="11" t="s">
        <v>1421</v>
      </c>
      <c r="H9" s="11" t="s">
        <v>1410</v>
      </c>
      <c r="I9" s="16">
        <v>1</v>
      </c>
      <c r="J9" s="11" t="s">
        <v>211</v>
      </c>
      <c r="K9" s="11" t="s">
        <v>1422</v>
      </c>
      <c r="L9" s="11" t="s">
        <v>1423</v>
      </c>
      <c r="M9" s="11" t="s">
        <v>372</v>
      </c>
      <c r="N9" s="11" t="s">
        <v>1424</v>
      </c>
      <c r="O9" s="11" t="s">
        <v>374</v>
      </c>
      <c r="P9" s="11" t="s">
        <v>669</v>
      </c>
      <c r="Q9" s="11" t="s">
        <v>1406</v>
      </c>
      <c r="R9" s="11" t="s">
        <v>1425</v>
      </c>
      <c r="S9" s="11" t="s">
        <v>15</v>
      </c>
      <c r="T9" s="11" t="s">
        <v>1416</v>
      </c>
      <c r="U9" s="29" t="s">
        <v>1426</v>
      </c>
    </row>
    <row r="10" spans="1:21" ht="110.4">
      <c r="A10" s="11" t="s">
        <v>220</v>
      </c>
      <c r="B10" s="11" t="s">
        <v>10</v>
      </c>
      <c r="C10" s="11">
        <v>5</v>
      </c>
      <c r="D10" s="11" t="s">
        <v>914</v>
      </c>
      <c r="E10" s="11" t="s">
        <v>1427</v>
      </c>
      <c r="F10" s="11" t="s">
        <v>1428</v>
      </c>
      <c r="G10" s="11" t="s">
        <v>1429</v>
      </c>
      <c r="H10" s="11" t="s">
        <v>1410</v>
      </c>
      <c r="I10" s="16">
        <v>1.5</v>
      </c>
      <c r="J10" s="11" t="s">
        <v>216</v>
      </c>
      <c r="K10" s="11" t="s">
        <v>1430</v>
      </c>
      <c r="L10" s="11" t="s">
        <v>1431</v>
      </c>
      <c r="M10" s="11" t="s">
        <v>1432</v>
      </c>
      <c r="N10" s="11" t="s">
        <v>1433</v>
      </c>
      <c r="O10" s="11" t="s">
        <v>365</v>
      </c>
      <c r="P10" s="11" t="s">
        <v>81</v>
      </c>
      <c r="Q10" s="11" t="s">
        <v>1406</v>
      </c>
      <c r="R10" s="11" t="s">
        <v>1434</v>
      </c>
      <c r="S10" s="11" t="s">
        <v>15</v>
      </c>
      <c r="T10" s="11" t="s">
        <v>1416</v>
      </c>
      <c r="U10" s="29" t="s">
        <v>1435</v>
      </c>
    </row>
    <row r="11" spans="1:21" ht="96.6">
      <c r="A11" s="11" t="s">
        <v>1436</v>
      </c>
      <c r="B11" s="11" t="s">
        <v>10</v>
      </c>
      <c r="C11" s="11">
        <v>6</v>
      </c>
      <c r="D11" s="11" t="s">
        <v>914</v>
      </c>
      <c r="E11" s="11" t="s">
        <v>1437</v>
      </c>
      <c r="F11" s="11" t="s">
        <v>1438</v>
      </c>
      <c r="G11" s="11" t="s">
        <v>1439</v>
      </c>
      <c r="H11" s="11" t="s">
        <v>1410</v>
      </c>
      <c r="I11" s="16">
        <v>1.25</v>
      </c>
      <c r="J11" s="11" t="s">
        <v>221</v>
      </c>
      <c r="K11" s="11" t="s">
        <v>1394</v>
      </c>
      <c r="L11" s="11" t="s">
        <v>1440</v>
      </c>
      <c r="M11" s="11" t="s">
        <v>1441</v>
      </c>
      <c r="N11" s="11" t="s">
        <v>1442</v>
      </c>
      <c r="O11" s="11" t="s">
        <v>1443</v>
      </c>
      <c r="P11" s="11" t="s">
        <v>676</v>
      </c>
      <c r="Q11" s="11" t="s">
        <v>1444</v>
      </c>
      <c r="R11" s="11" t="s">
        <v>1445</v>
      </c>
      <c r="S11" s="11" t="s">
        <v>15</v>
      </c>
      <c r="T11" s="11" t="s">
        <v>1416</v>
      </c>
      <c r="U11" s="29" t="s">
        <v>1446</v>
      </c>
    </row>
    <row r="12" spans="1:21" ht="110.4">
      <c r="A12" s="11" t="s">
        <v>1447</v>
      </c>
      <c r="B12" s="11" t="s">
        <v>10</v>
      </c>
      <c r="C12" s="11">
        <v>7</v>
      </c>
      <c r="D12" s="11" t="s">
        <v>914</v>
      </c>
      <c r="E12" s="11" t="s">
        <v>1448</v>
      </c>
      <c r="F12" s="11" t="s">
        <v>1449</v>
      </c>
      <c r="G12" s="11" t="s">
        <v>1450</v>
      </c>
      <c r="H12" s="11" t="s">
        <v>1410</v>
      </c>
      <c r="I12" s="16">
        <v>1</v>
      </c>
      <c r="J12" s="11" t="s">
        <v>211</v>
      </c>
      <c r="K12" s="11" t="s">
        <v>1394</v>
      </c>
      <c r="L12" s="11" t="s">
        <v>1451</v>
      </c>
      <c r="M12" s="11" t="s">
        <v>1452</v>
      </c>
      <c r="N12" s="11" t="s">
        <v>1453</v>
      </c>
      <c r="O12" s="11" t="s">
        <v>1454</v>
      </c>
      <c r="P12" s="11" t="s">
        <v>1455</v>
      </c>
      <c r="Q12" s="11" t="s">
        <v>1406</v>
      </c>
      <c r="R12" s="11" t="s">
        <v>1456</v>
      </c>
      <c r="S12" s="11" t="s">
        <v>15</v>
      </c>
      <c r="T12" s="11" t="s">
        <v>1416</v>
      </c>
      <c r="U12" s="29" t="s">
        <v>1457</v>
      </c>
    </row>
    <row r="13" spans="1:21" ht="110.4">
      <c r="A13" s="11" t="s">
        <v>1458</v>
      </c>
      <c r="B13" s="11" t="s">
        <v>10</v>
      </c>
      <c r="C13" s="11">
        <v>8</v>
      </c>
      <c r="D13" s="11" t="s">
        <v>914</v>
      </c>
      <c r="E13" s="11" t="s">
        <v>752</v>
      </c>
      <c r="F13" s="11" t="s">
        <v>1459</v>
      </c>
      <c r="G13" s="11" t="s">
        <v>1460</v>
      </c>
      <c r="H13" s="11" t="s">
        <v>1410</v>
      </c>
      <c r="I13" s="16">
        <v>1</v>
      </c>
      <c r="J13" s="11" t="s">
        <v>221</v>
      </c>
      <c r="K13" s="11" t="s">
        <v>751</v>
      </c>
      <c r="L13" s="11" t="s">
        <v>1461</v>
      </c>
      <c r="M13" s="11" t="s">
        <v>379</v>
      </c>
      <c r="N13" s="11" t="s">
        <v>1462</v>
      </c>
      <c r="O13" s="11" t="s">
        <v>381</v>
      </c>
      <c r="P13" s="11" t="s">
        <v>676</v>
      </c>
      <c r="Q13" s="11" t="s">
        <v>220</v>
      </c>
      <c r="R13" s="11" t="s">
        <v>1463</v>
      </c>
      <c r="S13" s="11" t="s">
        <v>15</v>
      </c>
      <c r="T13" s="11" t="s">
        <v>1416</v>
      </c>
      <c r="U13" s="29" t="s">
        <v>1464</v>
      </c>
    </row>
    <row r="14" spans="1:21" ht="125.4">
      <c r="A14" s="11" t="s">
        <v>1465</v>
      </c>
      <c r="B14" s="11" t="s">
        <v>10</v>
      </c>
      <c r="C14" s="11">
        <v>9</v>
      </c>
      <c r="D14" s="11" t="s">
        <v>914</v>
      </c>
      <c r="E14" s="11" t="s">
        <v>1466</v>
      </c>
      <c r="F14" s="11" t="s">
        <v>1467</v>
      </c>
      <c r="G14" s="11" t="s">
        <v>1468</v>
      </c>
      <c r="H14" s="11" t="s">
        <v>1410</v>
      </c>
      <c r="I14" s="16">
        <v>1.25</v>
      </c>
      <c r="J14" s="11" t="s">
        <v>226</v>
      </c>
      <c r="K14" s="11" t="s">
        <v>1469</v>
      </c>
      <c r="L14" s="11" t="s">
        <v>1470</v>
      </c>
      <c r="M14" s="11" t="s">
        <v>1471</v>
      </c>
      <c r="N14" s="11" t="s">
        <v>1472</v>
      </c>
      <c r="O14" s="11" t="s">
        <v>1473</v>
      </c>
      <c r="P14" s="11" t="s">
        <v>621</v>
      </c>
      <c r="Q14" s="11" t="s">
        <v>1406</v>
      </c>
      <c r="R14" s="11" t="s">
        <v>1474</v>
      </c>
      <c r="S14" s="11" t="s">
        <v>15</v>
      </c>
      <c r="T14" s="11" t="s">
        <v>1475</v>
      </c>
      <c r="U14" s="29" t="s">
        <v>1476</v>
      </c>
    </row>
    <row r="15" spans="1:21" ht="125.4">
      <c r="A15" s="11" t="s">
        <v>1477</v>
      </c>
      <c r="B15" s="11" t="s">
        <v>10</v>
      </c>
      <c r="C15" s="11">
        <v>10</v>
      </c>
      <c r="D15" s="11" t="s">
        <v>914</v>
      </c>
      <c r="E15" s="11" t="s">
        <v>1478</v>
      </c>
      <c r="F15" s="11" t="s">
        <v>1479</v>
      </c>
      <c r="G15" s="11" t="s">
        <v>1480</v>
      </c>
      <c r="H15" s="11" t="s">
        <v>1410</v>
      </c>
      <c r="I15" s="16">
        <v>1.5</v>
      </c>
      <c r="J15" s="11" t="s">
        <v>226</v>
      </c>
      <c r="K15" s="11" t="s">
        <v>1481</v>
      </c>
      <c r="L15" s="11" t="s">
        <v>1482</v>
      </c>
      <c r="M15" s="11" t="s">
        <v>1483</v>
      </c>
      <c r="N15" s="11" t="s">
        <v>1484</v>
      </c>
      <c r="O15" s="11" t="s">
        <v>1485</v>
      </c>
      <c r="P15" s="11" t="s">
        <v>1486</v>
      </c>
      <c r="Q15" s="11" t="s">
        <v>1465</v>
      </c>
      <c r="R15" s="11" t="s">
        <v>1487</v>
      </c>
      <c r="S15" s="11" t="s">
        <v>15</v>
      </c>
      <c r="T15" s="11" t="s">
        <v>1475</v>
      </c>
      <c r="U15" s="29" t="s">
        <v>1488</v>
      </c>
    </row>
    <row r="16" spans="1:21" ht="125.4">
      <c r="A16" s="11" t="s">
        <v>1489</v>
      </c>
      <c r="B16" s="11" t="s">
        <v>10</v>
      </c>
      <c r="C16" s="11">
        <v>11</v>
      </c>
      <c r="D16" s="11" t="s">
        <v>914</v>
      </c>
      <c r="E16" s="11" t="s">
        <v>1490</v>
      </c>
      <c r="F16" s="11" t="s">
        <v>1491</v>
      </c>
      <c r="G16" s="11" t="s">
        <v>1492</v>
      </c>
      <c r="H16" s="11" t="s">
        <v>1410</v>
      </c>
      <c r="I16" s="16">
        <v>1</v>
      </c>
      <c r="J16" s="11" t="s">
        <v>226</v>
      </c>
      <c r="K16" s="11" t="s">
        <v>1493</v>
      </c>
      <c r="L16" s="11" t="s">
        <v>1494</v>
      </c>
      <c r="M16" s="11" t="s">
        <v>387</v>
      </c>
      <c r="N16" s="11" t="s">
        <v>1495</v>
      </c>
      <c r="O16" s="11" t="s">
        <v>389</v>
      </c>
      <c r="P16" s="11" t="s">
        <v>1496</v>
      </c>
      <c r="Q16" s="11" t="s">
        <v>1477</v>
      </c>
      <c r="R16" s="11" t="s">
        <v>1497</v>
      </c>
      <c r="S16" s="11" t="s">
        <v>15</v>
      </c>
      <c r="T16" s="11" t="s">
        <v>1475</v>
      </c>
      <c r="U16" s="29" t="s">
        <v>1498</v>
      </c>
    </row>
    <row r="17" spans="1:21" ht="96.6">
      <c r="A17" s="11" t="s">
        <v>1499</v>
      </c>
      <c r="B17" s="11" t="s">
        <v>10</v>
      </c>
      <c r="C17" s="11">
        <v>12</v>
      </c>
      <c r="D17" s="11" t="s">
        <v>914</v>
      </c>
      <c r="E17" s="11" t="s">
        <v>1500</v>
      </c>
      <c r="F17" s="11" t="s">
        <v>1501</v>
      </c>
      <c r="G17" s="11" t="s">
        <v>1502</v>
      </c>
      <c r="H17" s="11" t="s">
        <v>577</v>
      </c>
      <c r="I17" s="16">
        <v>1</v>
      </c>
      <c r="J17" s="11" t="s">
        <v>328</v>
      </c>
      <c r="K17" s="11" t="s">
        <v>1503</v>
      </c>
      <c r="L17" s="11" t="s">
        <v>1504</v>
      </c>
      <c r="M17" s="11" t="s">
        <v>1505</v>
      </c>
      <c r="N17" s="11" t="s">
        <v>1506</v>
      </c>
      <c r="O17" s="11" t="s">
        <v>1507</v>
      </c>
      <c r="P17" s="11" t="s">
        <v>669</v>
      </c>
      <c r="Q17" s="11" t="s">
        <v>1508</v>
      </c>
      <c r="R17" s="11" t="s">
        <v>1509</v>
      </c>
      <c r="S17" s="11" t="s">
        <v>15</v>
      </c>
      <c r="T17" s="11" t="s">
        <v>1510</v>
      </c>
      <c r="U17" s="29" t="s">
        <v>1511</v>
      </c>
    </row>
    <row r="18" spans="1:21" ht="69" hidden="1">
      <c r="A18" s="11" t="s">
        <v>1512</v>
      </c>
      <c r="B18" s="11" t="s">
        <v>10</v>
      </c>
      <c r="C18" s="11">
        <v>13</v>
      </c>
      <c r="D18" s="11" t="s">
        <v>914</v>
      </c>
      <c r="E18" s="11" t="s">
        <v>1513</v>
      </c>
      <c r="F18" s="11" t="s">
        <v>1514</v>
      </c>
      <c r="G18" s="11" t="s">
        <v>1515</v>
      </c>
      <c r="H18" s="11" t="s">
        <v>1400</v>
      </c>
      <c r="I18" s="16">
        <v>1</v>
      </c>
      <c r="J18" s="11" t="s">
        <v>1516</v>
      </c>
      <c r="K18" s="11" t="s">
        <v>1394</v>
      </c>
      <c r="L18" s="11" t="s">
        <v>1517</v>
      </c>
      <c r="M18" s="11" t="s">
        <v>1518</v>
      </c>
      <c r="N18" s="11" t="s">
        <v>1519</v>
      </c>
      <c r="O18" s="11" t="s">
        <v>1520</v>
      </c>
      <c r="P18" s="11" t="s">
        <v>1521</v>
      </c>
      <c r="Q18" s="11" t="s">
        <v>1499</v>
      </c>
      <c r="R18" s="11" t="s">
        <v>1522</v>
      </c>
      <c r="S18" s="11" t="s">
        <v>711</v>
      </c>
      <c r="T18" s="11" t="s">
        <v>1523</v>
      </c>
      <c r="U18" s="29" t="s">
        <v>1524</v>
      </c>
    </row>
    <row r="19" spans="1:21" ht="110.4" hidden="1">
      <c r="A19" s="11" t="s">
        <v>1525</v>
      </c>
      <c r="B19" s="11" t="s">
        <v>25</v>
      </c>
      <c r="C19" s="11">
        <v>1</v>
      </c>
      <c r="D19" s="11" t="s">
        <v>914</v>
      </c>
      <c r="E19" s="11" t="s">
        <v>1526</v>
      </c>
      <c r="F19" s="11" t="s">
        <v>1527</v>
      </c>
      <c r="G19" s="11" t="s">
        <v>1528</v>
      </c>
      <c r="H19" s="11" t="s">
        <v>1410</v>
      </c>
      <c r="I19" s="16">
        <v>1</v>
      </c>
      <c r="J19" s="11" t="s">
        <v>231</v>
      </c>
      <c r="K19" s="11" t="s">
        <v>1529</v>
      </c>
      <c r="L19" s="11" t="s">
        <v>1530</v>
      </c>
      <c r="M19" s="11" t="s">
        <v>394</v>
      </c>
      <c r="N19" s="11" t="s">
        <v>1531</v>
      </c>
      <c r="O19" s="11" t="s">
        <v>1532</v>
      </c>
      <c r="P19" s="11" t="s">
        <v>81</v>
      </c>
      <c r="Q19" s="11" t="s">
        <v>1512</v>
      </c>
      <c r="R19" s="11" t="s">
        <v>1533</v>
      </c>
      <c r="S19" s="11" t="s">
        <v>711</v>
      </c>
      <c r="T19" s="11"/>
      <c r="U19" s="29" t="s">
        <v>1534</v>
      </c>
    </row>
    <row r="20" spans="1:21" ht="110.4" hidden="1">
      <c r="A20" s="11" t="s">
        <v>1535</v>
      </c>
      <c r="B20" s="11" t="s">
        <v>25</v>
      </c>
      <c r="C20" s="11">
        <v>2</v>
      </c>
      <c r="D20" s="11" t="s">
        <v>914</v>
      </c>
      <c r="E20" s="11" t="s">
        <v>1536</v>
      </c>
      <c r="F20" s="11" t="s">
        <v>1537</v>
      </c>
      <c r="G20" s="11" t="s">
        <v>1538</v>
      </c>
      <c r="H20" s="11" t="s">
        <v>1410</v>
      </c>
      <c r="I20" s="16">
        <v>1.25</v>
      </c>
      <c r="J20" s="11" t="s">
        <v>231</v>
      </c>
      <c r="K20" s="11" t="s">
        <v>1394</v>
      </c>
      <c r="L20" s="11" t="s">
        <v>1539</v>
      </c>
      <c r="M20" s="11" t="s">
        <v>1540</v>
      </c>
      <c r="N20" s="11" t="s">
        <v>1541</v>
      </c>
      <c r="O20" s="11" t="s">
        <v>1542</v>
      </c>
      <c r="P20" s="11" t="s">
        <v>113</v>
      </c>
      <c r="Q20" s="11" t="s">
        <v>1525</v>
      </c>
      <c r="R20" s="11" t="s">
        <v>1543</v>
      </c>
      <c r="S20" s="11" t="s">
        <v>711</v>
      </c>
      <c r="T20" s="11"/>
      <c r="U20" s="29" t="s">
        <v>1544</v>
      </c>
    </row>
    <row r="21" spans="1:21" ht="110.4" hidden="1">
      <c r="A21" s="11" t="s">
        <v>1545</v>
      </c>
      <c r="B21" s="11" t="s">
        <v>25</v>
      </c>
      <c r="C21" s="11">
        <v>3</v>
      </c>
      <c r="D21" s="11" t="s">
        <v>914</v>
      </c>
      <c r="E21" s="11" t="s">
        <v>1546</v>
      </c>
      <c r="F21" s="11" t="s">
        <v>1547</v>
      </c>
      <c r="G21" s="11" t="s">
        <v>1548</v>
      </c>
      <c r="H21" s="11" t="s">
        <v>1410</v>
      </c>
      <c r="I21" s="16">
        <v>1</v>
      </c>
      <c r="J21" s="11" t="s">
        <v>231</v>
      </c>
      <c r="K21" s="11" t="s">
        <v>1394</v>
      </c>
      <c r="L21" s="11" t="s">
        <v>1549</v>
      </c>
      <c r="M21" s="11" t="s">
        <v>1550</v>
      </c>
      <c r="N21" s="11" t="s">
        <v>1551</v>
      </c>
      <c r="O21" s="11" t="s">
        <v>1552</v>
      </c>
      <c r="P21" s="11" t="s">
        <v>87</v>
      </c>
      <c r="Q21" s="11" t="s">
        <v>1499</v>
      </c>
      <c r="R21" s="11" t="s">
        <v>1553</v>
      </c>
      <c r="S21" s="11" t="s">
        <v>711</v>
      </c>
      <c r="T21" s="11"/>
      <c r="U21" s="29" t="s">
        <v>1554</v>
      </c>
    </row>
    <row r="22" spans="1:21" ht="110.4" hidden="1">
      <c r="A22" s="11" t="s">
        <v>1555</v>
      </c>
      <c r="B22" s="11" t="s">
        <v>25</v>
      </c>
      <c r="C22" s="11">
        <v>4</v>
      </c>
      <c r="D22" s="11" t="s">
        <v>914</v>
      </c>
      <c r="E22" s="11" t="s">
        <v>1556</v>
      </c>
      <c r="F22" s="11" t="s">
        <v>1557</v>
      </c>
      <c r="G22" s="11" t="s">
        <v>1558</v>
      </c>
      <c r="H22" s="11" t="s">
        <v>1410</v>
      </c>
      <c r="I22" s="16">
        <v>1.5</v>
      </c>
      <c r="J22" s="11" t="s">
        <v>231</v>
      </c>
      <c r="K22" s="11" t="s">
        <v>1559</v>
      </c>
      <c r="L22" s="11" t="s">
        <v>1560</v>
      </c>
      <c r="M22" s="11" t="s">
        <v>1561</v>
      </c>
      <c r="N22" s="11" t="s">
        <v>1562</v>
      </c>
      <c r="O22" s="11" t="s">
        <v>1563</v>
      </c>
      <c r="P22" s="11" t="s">
        <v>87</v>
      </c>
      <c r="Q22" s="11" t="s">
        <v>1564</v>
      </c>
      <c r="R22" s="11" t="s">
        <v>1565</v>
      </c>
      <c r="S22" s="11" t="s">
        <v>711</v>
      </c>
      <c r="T22" s="11"/>
      <c r="U22" s="29" t="s">
        <v>1566</v>
      </c>
    </row>
    <row r="23" spans="1:21" ht="110.4" hidden="1">
      <c r="A23" s="11" t="s">
        <v>236</v>
      </c>
      <c r="B23" s="11" t="s">
        <v>25</v>
      </c>
      <c r="C23" s="11">
        <v>5</v>
      </c>
      <c r="D23" s="11" t="s">
        <v>914</v>
      </c>
      <c r="E23" s="11" t="s">
        <v>1013</v>
      </c>
      <c r="F23" s="11" t="s">
        <v>1567</v>
      </c>
      <c r="G23" s="11" t="s">
        <v>1568</v>
      </c>
      <c r="H23" s="11" t="s">
        <v>1410</v>
      </c>
      <c r="I23" s="16">
        <v>1.25</v>
      </c>
      <c r="J23" s="11" t="s">
        <v>232</v>
      </c>
      <c r="K23" s="11" t="s">
        <v>746</v>
      </c>
      <c r="L23" s="11" t="s">
        <v>1569</v>
      </c>
      <c r="M23" s="11" t="s">
        <v>406</v>
      </c>
      <c r="N23" s="11" t="s">
        <v>1570</v>
      </c>
      <c r="O23" s="11" t="s">
        <v>1571</v>
      </c>
      <c r="P23" s="11" t="s">
        <v>81</v>
      </c>
      <c r="Q23" s="11" t="s">
        <v>1525</v>
      </c>
      <c r="R23" s="11" t="s">
        <v>1572</v>
      </c>
      <c r="S23" s="11" t="s">
        <v>711</v>
      </c>
      <c r="T23" s="11"/>
      <c r="U23" s="29" t="s">
        <v>1573</v>
      </c>
    </row>
    <row r="24" spans="1:21" ht="110.4" hidden="1">
      <c r="A24" s="11" t="s">
        <v>1574</v>
      </c>
      <c r="B24" s="11" t="s">
        <v>25</v>
      </c>
      <c r="C24" s="11">
        <v>6</v>
      </c>
      <c r="D24" s="11" t="s">
        <v>914</v>
      </c>
      <c r="E24" s="11" t="s">
        <v>1232</v>
      </c>
      <c r="F24" s="11" t="s">
        <v>1575</v>
      </c>
      <c r="G24" s="11" t="s">
        <v>1576</v>
      </c>
      <c r="H24" s="11" t="s">
        <v>1410</v>
      </c>
      <c r="I24" s="16">
        <v>1.5</v>
      </c>
      <c r="J24" s="11" t="s">
        <v>237</v>
      </c>
      <c r="K24" s="11" t="s">
        <v>1577</v>
      </c>
      <c r="L24" s="11" t="s">
        <v>1578</v>
      </c>
      <c r="M24" s="11" t="s">
        <v>1579</v>
      </c>
      <c r="N24" s="11" t="s">
        <v>1580</v>
      </c>
      <c r="O24" s="11" t="s">
        <v>1581</v>
      </c>
      <c r="P24" s="11" t="s">
        <v>676</v>
      </c>
      <c r="Q24" s="11" t="s">
        <v>1582</v>
      </c>
      <c r="R24" s="11" t="s">
        <v>1583</v>
      </c>
      <c r="S24" s="11" t="s">
        <v>711</v>
      </c>
      <c r="T24" s="11"/>
      <c r="U24" s="29" t="s">
        <v>1584</v>
      </c>
    </row>
    <row r="25" spans="1:21" ht="96.6" hidden="1">
      <c r="A25" s="11" t="s">
        <v>1585</v>
      </c>
      <c r="B25" s="11" t="s">
        <v>25</v>
      </c>
      <c r="C25" s="11">
        <v>7</v>
      </c>
      <c r="D25" s="11" t="s">
        <v>914</v>
      </c>
      <c r="E25" s="11" t="s">
        <v>714</v>
      </c>
      <c r="F25" s="11" t="s">
        <v>1586</v>
      </c>
      <c r="G25" s="11" t="s">
        <v>1587</v>
      </c>
      <c r="H25" s="11" t="s">
        <v>1410</v>
      </c>
      <c r="I25" s="16">
        <v>1</v>
      </c>
      <c r="J25" s="11" t="s">
        <v>237</v>
      </c>
      <c r="K25" s="11" t="s">
        <v>713</v>
      </c>
      <c r="L25" s="11" t="s">
        <v>1588</v>
      </c>
      <c r="M25" s="11" t="s">
        <v>1589</v>
      </c>
      <c r="N25" s="11" t="s">
        <v>1590</v>
      </c>
      <c r="O25" s="11" t="s">
        <v>1591</v>
      </c>
      <c r="P25" s="11" t="s">
        <v>106</v>
      </c>
      <c r="Q25" s="11" t="s">
        <v>1574</v>
      </c>
      <c r="R25" s="11" t="s">
        <v>1592</v>
      </c>
      <c r="S25" s="11" t="s">
        <v>711</v>
      </c>
      <c r="T25" s="11"/>
      <c r="U25" s="29" t="s">
        <v>1593</v>
      </c>
    </row>
    <row r="26" spans="1:21" ht="110.4" hidden="1">
      <c r="A26" s="11" t="s">
        <v>1594</v>
      </c>
      <c r="B26" s="11" t="s">
        <v>25</v>
      </c>
      <c r="C26" s="11">
        <v>8</v>
      </c>
      <c r="D26" s="11" t="s">
        <v>914</v>
      </c>
      <c r="E26" s="11" t="s">
        <v>1595</v>
      </c>
      <c r="F26" s="11" t="s">
        <v>1596</v>
      </c>
      <c r="G26" s="11" t="s">
        <v>1597</v>
      </c>
      <c r="H26" s="11" t="s">
        <v>1410</v>
      </c>
      <c r="I26" s="16">
        <v>1</v>
      </c>
      <c r="J26" s="11" t="s">
        <v>231</v>
      </c>
      <c r="K26" s="11" t="s">
        <v>748</v>
      </c>
      <c r="L26" s="11" t="s">
        <v>1598</v>
      </c>
      <c r="M26" s="11" t="s">
        <v>1599</v>
      </c>
      <c r="N26" s="11" t="s">
        <v>1600</v>
      </c>
      <c r="O26" s="11" t="s">
        <v>1601</v>
      </c>
      <c r="P26" s="11" t="s">
        <v>106</v>
      </c>
      <c r="Q26" s="11" t="s">
        <v>1555</v>
      </c>
      <c r="R26" s="11" t="s">
        <v>1602</v>
      </c>
      <c r="S26" s="11" t="s">
        <v>711</v>
      </c>
      <c r="T26" s="11"/>
      <c r="U26" s="29" t="s">
        <v>1603</v>
      </c>
    </row>
    <row r="27" spans="1:21" ht="110.4" hidden="1">
      <c r="A27" s="11" t="s">
        <v>1604</v>
      </c>
      <c r="B27" s="11" t="s">
        <v>25</v>
      </c>
      <c r="C27" s="11">
        <v>9</v>
      </c>
      <c r="D27" s="11" t="s">
        <v>914</v>
      </c>
      <c r="E27" s="11" t="s">
        <v>1605</v>
      </c>
      <c r="F27" s="11" t="s">
        <v>1606</v>
      </c>
      <c r="G27" s="11" t="s">
        <v>1607</v>
      </c>
      <c r="H27" s="11" t="s">
        <v>1400</v>
      </c>
      <c r="I27" s="16">
        <v>1</v>
      </c>
      <c r="J27" s="11" t="s">
        <v>242</v>
      </c>
      <c r="K27" s="11" t="s">
        <v>1608</v>
      </c>
      <c r="L27" s="11" t="s">
        <v>1609</v>
      </c>
      <c r="M27" s="11" t="s">
        <v>1610</v>
      </c>
      <c r="N27" s="11" t="s">
        <v>1611</v>
      </c>
      <c r="O27" s="11" t="s">
        <v>1612</v>
      </c>
      <c r="P27" s="11" t="s">
        <v>1613</v>
      </c>
      <c r="Q27" s="11" t="s">
        <v>1614</v>
      </c>
      <c r="R27" s="11" t="s">
        <v>1615</v>
      </c>
      <c r="S27" s="11" t="s">
        <v>711</v>
      </c>
      <c r="T27" s="11"/>
      <c r="U27" s="29" t="s">
        <v>1616</v>
      </c>
    </row>
    <row r="28" spans="1:21" ht="110.4" hidden="1">
      <c r="A28" s="11" t="s">
        <v>1617</v>
      </c>
      <c r="B28" s="11" t="s">
        <v>25</v>
      </c>
      <c r="C28" s="11">
        <v>10</v>
      </c>
      <c r="D28" s="11" t="s">
        <v>914</v>
      </c>
      <c r="E28" s="11" t="s">
        <v>1478</v>
      </c>
      <c r="F28" s="11" t="s">
        <v>1618</v>
      </c>
      <c r="G28" s="11" t="s">
        <v>1619</v>
      </c>
      <c r="H28" s="11" t="s">
        <v>1400</v>
      </c>
      <c r="I28" s="16">
        <v>1</v>
      </c>
      <c r="J28" s="11" t="s">
        <v>242</v>
      </c>
      <c r="K28" s="11" t="s">
        <v>781</v>
      </c>
      <c r="L28" s="11" t="s">
        <v>1620</v>
      </c>
      <c r="M28" s="11" t="s">
        <v>1621</v>
      </c>
      <c r="N28" s="11" t="s">
        <v>1622</v>
      </c>
      <c r="O28" s="11" t="s">
        <v>1623</v>
      </c>
      <c r="P28" s="11" t="s">
        <v>1624</v>
      </c>
      <c r="Q28" s="11" t="s">
        <v>1604</v>
      </c>
      <c r="R28" s="11" t="s">
        <v>1625</v>
      </c>
      <c r="S28" s="11" t="s">
        <v>711</v>
      </c>
      <c r="T28" s="11"/>
      <c r="U28" s="29" t="s">
        <v>1626</v>
      </c>
    </row>
    <row r="29" spans="1:21" ht="110.4" hidden="1">
      <c r="A29" s="11" t="s">
        <v>247</v>
      </c>
      <c r="B29" s="11" t="s">
        <v>25</v>
      </c>
      <c r="C29" s="11">
        <v>11</v>
      </c>
      <c r="D29" s="11" t="s">
        <v>954</v>
      </c>
      <c r="E29" s="11" t="s">
        <v>1627</v>
      </c>
      <c r="F29" s="11" t="s">
        <v>1628</v>
      </c>
      <c r="G29" s="11" t="s">
        <v>1629</v>
      </c>
      <c r="H29" s="11" t="s">
        <v>577</v>
      </c>
      <c r="I29" s="16">
        <v>0.75</v>
      </c>
      <c r="J29" s="11" t="s">
        <v>243</v>
      </c>
      <c r="K29" s="11" t="s">
        <v>1394</v>
      </c>
      <c r="L29" s="11" t="s">
        <v>1630</v>
      </c>
      <c r="M29" s="11" t="s">
        <v>1631</v>
      </c>
      <c r="N29" s="11" t="s">
        <v>1632</v>
      </c>
      <c r="O29" s="11" t="s">
        <v>1633</v>
      </c>
      <c r="P29" s="11" t="s">
        <v>1634</v>
      </c>
      <c r="Q29" s="11" t="s">
        <v>1604</v>
      </c>
      <c r="R29" s="11" t="s">
        <v>1635</v>
      </c>
      <c r="S29" s="11" t="s">
        <v>711</v>
      </c>
      <c r="T29" s="11"/>
      <c r="U29" s="29" t="s">
        <v>1636</v>
      </c>
    </row>
    <row r="30" spans="1:21" ht="96.6" hidden="1">
      <c r="A30" s="11" t="s">
        <v>1637</v>
      </c>
      <c r="B30" s="11" t="s">
        <v>25</v>
      </c>
      <c r="C30" s="11">
        <v>12</v>
      </c>
      <c r="D30" s="11" t="s">
        <v>914</v>
      </c>
      <c r="E30" s="11" t="s">
        <v>1500</v>
      </c>
      <c r="F30" s="11" t="s">
        <v>1638</v>
      </c>
      <c r="G30" s="11" t="s">
        <v>1639</v>
      </c>
      <c r="H30" s="11" t="s">
        <v>577</v>
      </c>
      <c r="I30" s="16">
        <v>0.75</v>
      </c>
      <c r="J30" s="11" t="s">
        <v>328</v>
      </c>
      <c r="K30" s="11" t="s">
        <v>1640</v>
      </c>
      <c r="L30" s="11" t="s">
        <v>1641</v>
      </c>
      <c r="M30" s="11" t="s">
        <v>1642</v>
      </c>
      <c r="N30" s="11" t="s">
        <v>1643</v>
      </c>
      <c r="O30" s="11" t="s">
        <v>1644</v>
      </c>
      <c r="P30" s="11" t="s">
        <v>669</v>
      </c>
      <c r="Q30" s="11" t="s">
        <v>1645</v>
      </c>
      <c r="R30" s="11" t="s">
        <v>1646</v>
      </c>
      <c r="S30" s="11" t="s">
        <v>711</v>
      </c>
      <c r="T30" s="11"/>
      <c r="U30" s="29" t="s">
        <v>1647</v>
      </c>
    </row>
    <row r="31" spans="1:21" ht="69" hidden="1">
      <c r="A31" s="11" t="s">
        <v>1648</v>
      </c>
      <c r="B31" s="11" t="s">
        <v>25</v>
      </c>
      <c r="C31" s="11">
        <v>13</v>
      </c>
      <c r="D31" s="11" t="s">
        <v>914</v>
      </c>
      <c r="E31" s="11" t="s">
        <v>1513</v>
      </c>
      <c r="F31" s="11" t="s">
        <v>1649</v>
      </c>
      <c r="G31" s="11" t="s">
        <v>1650</v>
      </c>
      <c r="H31" s="11" t="s">
        <v>1400</v>
      </c>
      <c r="I31" s="16">
        <v>1</v>
      </c>
      <c r="J31" s="11" t="s">
        <v>1516</v>
      </c>
      <c r="K31" s="11" t="s">
        <v>1394</v>
      </c>
      <c r="L31" s="11" t="s">
        <v>1651</v>
      </c>
      <c r="M31" s="11" t="s">
        <v>1518</v>
      </c>
      <c r="N31" s="11" t="s">
        <v>1519</v>
      </c>
      <c r="O31" s="11" t="s">
        <v>1652</v>
      </c>
      <c r="P31" s="11" t="s">
        <v>1634</v>
      </c>
      <c r="Q31" s="11" t="s">
        <v>1637</v>
      </c>
      <c r="R31" s="11" t="s">
        <v>1522</v>
      </c>
      <c r="S31" s="11" t="s">
        <v>711</v>
      </c>
      <c r="T31" s="11" t="s">
        <v>1653</v>
      </c>
      <c r="U31" s="29" t="s">
        <v>1654</v>
      </c>
    </row>
    <row r="32" spans="1:21" ht="110.4" hidden="1">
      <c r="A32" s="11" t="s">
        <v>1655</v>
      </c>
      <c r="B32" s="11" t="s">
        <v>26</v>
      </c>
      <c r="C32" s="11">
        <v>1</v>
      </c>
      <c r="D32" s="11" t="s">
        <v>914</v>
      </c>
      <c r="E32" s="11" t="s">
        <v>1656</v>
      </c>
      <c r="F32" s="11" t="s">
        <v>1657</v>
      </c>
      <c r="G32" s="11" t="s">
        <v>1658</v>
      </c>
      <c r="H32" s="11" t="s">
        <v>1410</v>
      </c>
      <c r="I32" s="16">
        <v>1</v>
      </c>
      <c r="J32" s="11" t="s">
        <v>248</v>
      </c>
      <c r="K32" s="11" t="s">
        <v>742</v>
      </c>
      <c r="L32" s="11" t="s">
        <v>1659</v>
      </c>
      <c r="M32" s="11" t="s">
        <v>1660</v>
      </c>
      <c r="N32" s="11" t="s">
        <v>1661</v>
      </c>
      <c r="O32" s="11" t="s">
        <v>1662</v>
      </c>
      <c r="P32" s="11" t="s">
        <v>1663</v>
      </c>
      <c r="Q32" s="11" t="s">
        <v>1648</v>
      </c>
      <c r="R32" s="11" t="s">
        <v>1664</v>
      </c>
      <c r="S32" s="11" t="s">
        <v>711</v>
      </c>
      <c r="T32" s="11"/>
      <c r="U32" s="29" t="s">
        <v>1665</v>
      </c>
    </row>
    <row r="33" spans="1:21" ht="110.4" hidden="1">
      <c r="A33" s="11" t="s">
        <v>1666</v>
      </c>
      <c r="B33" s="11" t="s">
        <v>26</v>
      </c>
      <c r="C33" s="11">
        <v>2</v>
      </c>
      <c r="D33" s="11" t="s">
        <v>914</v>
      </c>
      <c r="E33" s="11" t="s">
        <v>1667</v>
      </c>
      <c r="F33" s="11" t="s">
        <v>1668</v>
      </c>
      <c r="G33" s="11" t="s">
        <v>1669</v>
      </c>
      <c r="H33" s="11" t="s">
        <v>1410</v>
      </c>
      <c r="I33" s="16">
        <v>1.25</v>
      </c>
      <c r="J33" s="11" t="s">
        <v>248</v>
      </c>
      <c r="K33" s="11" t="s">
        <v>1670</v>
      </c>
      <c r="L33" s="11" t="s">
        <v>1671</v>
      </c>
      <c r="M33" s="11" t="s">
        <v>1672</v>
      </c>
      <c r="N33" s="11" t="s">
        <v>1673</v>
      </c>
      <c r="O33" s="11" t="s">
        <v>1674</v>
      </c>
      <c r="P33" s="11" t="s">
        <v>119</v>
      </c>
      <c r="Q33" s="11" t="s">
        <v>1655</v>
      </c>
      <c r="R33" s="11" t="s">
        <v>1675</v>
      </c>
      <c r="S33" s="11" t="s">
        <v>711</v>
      </c>
      <c r="T33" s="11"/>
      <c r="U33" s="29" t="s">
        <v>1676</v>
      </c>
    </row>
    <row r="34" spans="1:21" ht="96.6" hidden="1">
      <c r="A34" s="11" t="s">
        <v>1677</v>
      </c>
      <c r="B34" s="11" t="s">
        <v>26</v>
      </c>
      <c r="C34" s="11">
        <v>3</v>
      </c>
      <c r="D34" s="11" t="s">
        <v>914</v>
      </c>
      <c r="E34" s="11" t="s">
        <v>1678</v>
      </c>
      <c r="F34" s="11" t="s">
        <v>1679</v>
      </c>
      <c r="G34" s="11" t="s">
        <v>1680</v>
      </c>
      <c r="H34" s="11" t="s">
        <v>1410</v>
      </c>
      <c r="I34" s="16">
        <v>0.75</v>
      </c>
      <c r="J34" s="11" t="s">
        <v>248</v>
      </c>
      <c r="K34" s="11" t="s">
        <v>1394</v>
      </c>
      <c r="L34" s="11" t="s">
        <v>1681</v>
      </c>
      <c r="M34" s="11" t="s">
        <v>1682</v>
      </c>
      <c r="N34" s="11" t="s">
        <v>1683</v>
      </c>
      <c r="O34" s="11" t="s">
        <v>1684</v>
      </c>
      <c r="P34" s="11" t="s">
        <v>75</v>
      </c>
      <c r="Q34" s="11" t="s">
        <v>1655</v>
      </c>
      <c r="R34" s="11" t="s">
        <v>1685</v>
      </c>
      <c r="S34" s="11" t="s">
        <v>711</v>
      </c>
      <c r="T34" s="11"/>
      <c r="U34" s="29" t="s">
        <v>1686</v>
      </c>
    </row>
    <row r="35" spans="1:21" ht="110.4" hidden="1">
      <c r="A35" s="11" t="s">
        <v>1687</v>
      </c>
      <c r="B35" s="11" t="s">
        <v>26</v>
      </c>
      <c r="C35" s="11">
        <v>4</v>
      </c>
      <c r="D35" s="11" t="s">
        <v>914</v>
      </c>
      <c r="E35" s="11" t="s">
        <v>1688</v>
      </c>
      <c r="F35" s="11" t="s">
        <v>1689</v>
      </c>
      <c r="G35" s="11" t="s">
        <v>1690</v>
      </c>
      <c r="H35" s="11" t="s">
        <v>1410</v>
      </c>
      <c r="I35" s="16">
        <v>1.5</v>
      </c>
      <c r="J35" s="11" t="s">
        <v>248</v>
      </c>
      <c r="K35" s="11" t="s">
        <v>789</v>
      </c>
      <c r="L35" s="11" t="s">
        <v>1691</v>
      </c>
      <c r="M35" s="11" t="s">
        <v>426</v>
      </c>
      <c r="N35" s="11" t="s">
        <v>1692</v>
      </c>
      <c r="O35" s="11" t="s">
        <v>1693</v>
      </c>
      <c r="P35" s="11" t="s">
        <v>75</v>
      </c>
      <c r="Q35" s="11" t="s">
        <v>1694</v>
      </c>
      <c r="R35" s="11" t="s">
        <v>1695</v>
      </c>
      <c r="S35" s="11" t="s">
        <v>711</v>
      </c>
      <c r="T35" s="11"/>
      <c r="U35" s="29" t="s">
        <v>1696</v>
      </c>
    </row>
    <row r="36" spans="1:21" ht="110.4" hidden="1">
      <c r="A36" s="11" t="s">
        <v>1697</v>
      </c>
      <c r="B36" s="11" t="s">
        <v>26</v>
      </c>
      <c r="C36" s="11">
        <v>5</v>
      </c>
      <c r="D36" s="11" t="s">
        <v>914</v>
      </c>
      <c r="E36" s="11" t="s">
        <v>948</v>
      </c>
      <c r="F36" s="11" t="s">
        <v>1698</v>
      </c>
      <c r="G36" s="11" t="s">
        <v>1699</v>
      </c>
      <c r="H36" s="11" t="s">
        <v>1410</v>
      </c>
      <c r="I36" s="16">
        <v>1</v>
      </c>
      <c r="J36" s="11" t="s">
        <v>258</v>
      </c>
      <c r="K36" s="11" t="s">
        <v>1700</v>
      </c>
      <c r="L36" s="11" t="s">
        <v>1701</v>
      </c>
      <c r="M36" s="11" t="s">
        <v>1702</v>
      </c>
      <c r="N36" s="11" t="s">
        <v>1703</v>
      </c>
      <c r="O36" s="11" t="s">
        <v>1704</v>
      </c>
      <c r="P36" s="11" t="s">
        <v>106</v>
      </c>
      <c r="Q36" s="11" t="s">
        <v>1687</v>
      </c>
      <c r="R36" s="11" t="s">
        <v>1705</v>
      </c>
      <c r="S36" s="11" t="s">
        <v>711</v>
      </c>
      <c r="T36" s="11"/>
      <c r="U36" s="29" t="s">
        <v>1706</v>
      </c>
    </row>
    <row r="37" spans="1:21" ht="110.4" hidden="1">
      <c r="A37" s="11" t="s">
        <v>1707</v>
      </c>
      <c r="B37" s="11" t="s">
        <v>26</v>
      </c>
      <c r="C37" s="11">
        <v>6</v>
      </c>
      <c r="D37" s="11" t="s">
        <v>914</v>
      </c>
      <c r="E37" s="11" t="s">
        <v>1708</v>
      </c>
      <c r="F37" s="11" t="s">
        <v>1709</v>
      </c>
      <c r="G37" s="11" t="s">
        <v>1710</v>
      </c>
      <c r="H37" s="11" t="s">
        <v>577</v>
      </c>
      <c r="I37" s="16">
        <v>1.25</v>
      </c>
      <c r="J37" s="11" t="s">
        <v>253</v>
      </c>
      <c r="K37" s="11" t="s">
        <v>1711</v>
      </c>
      <c r="L37" s="11" t="s">
        <v>1712</v>
      </c>
      <c r="M37" s="11" t="s">
        <v>1713</v>
      </c>
      <c r="N37" s="11" t="s">
        <v>1714</v>
      </c>
      <c r="O37" s="11" t="s">
        <v>1715</v>
      </c>
      <c r="P37" s="11" t="s">
        <v>676</v>
      </c>
      <c r="Q37" s="11" t="s">
        <v>1604</v>
      </c>
      <c r="R37" s="11" t="s">
        <v>1716</v>
      </c>
      <c r="S37" s="11" t="s">
        <v>711</v>
      </c>
      <c r="T37" s="11"/>
      <c r="U37" s="29" t="s">
        <v>1717</v>
      </c>
    </row>
    <row r="38" spans="1:21" ht="110.4" hidden="1">
      <c r="A38" s="11" t="s">
        <v>1718</v>
      </c>
      <c r="B38" s="11" t="s">
        <v>26</v>
      </c>
      <c r="C38" s="11">
        <v>7</v>
      </c>
      <c r="D38" s="11" t="s">
        <v>914</v>
      </c>
      <c r="E38" s="11" t="s">
        <v>1719</v>
      </c>
      <c r="F38" s="11" t="s">
        <v>1720</v>
      </c>
      <c r="G38" s="11" t="s">
        <v>1721</v>
      </c>
      <c r="H38" s="11" t="s">
        <v>1410</v>
      </c>
      <c r="I38" s="16">
        <v>1.5</v>
      </c>
      <c r="J38" s="11" t="s">
        <v>253</v>
      </c>
      <c r="K38" s="11" t="s">
        <v>717</v>
      </c>
      <c r="L38" s="11" t="s">
        <v>1722</v>
      </c>
      <c r="M38" s="11" t="s">
        <v>1723</v>
      </c>
      <c r="N38" s="11" t="s">
        <v>1724</v>
      </c>
      <c r="O38" s="11" t="s">
        <v>439</v>
      </c>
      <c r="P38" s="11" t="s">
        <v>676</v>
      </c>
      <c r="Q38" s="11" t="s">
        <v>1725</v>
      </c>
      <c r="R38" s="11" t="s">
        <v>1726</v>
      </c>
      <c r="S38" s="11" t="s">
        <v>711</v>
      </c>
      <c r="T38" s="11"/>
      <c r="U38" s="29" t="s">
        <v>1727</v>
      </c>
    </row>
    <row r="39" spans="1:21" ht="110.4" hidden="1">
      <c r="A39" s="11" t="s">
        <v>1728</v>
      </c>
      <c r="B39" s="11" t="s">
        <v>26</v>
      </c>
      <c r="C39" s="11">
        <v>8</v>
      </c>
      <c r="D39" s="11" t="s">
        <v>914</v>
      </c>
      <c r="E39" s="11" t="s">
        <v>1729</v>
      </c>
      <c r="F39" s="11" t="s">
        <v>1730</v>
      </c>
      <c r="G39" s="11" t="s">
        <v>1731</v>
      </c>
      <c r="H39" s="11" t="s">
        <v>1410</v>
      </c>
      <c r="I39" s="16">
        <v>1</v>
      </c>
      <c r="J39" s="11" t="s">
        <v>258</v>
      </c>
      <c r="K39" s="11" t="s">
        <v>748</v>
      </c>
      <c r="L39" s="11" t="s">
        <v>1732</v>
      </c>
      <c r="M39" s="11" t="s">
        <v>431</v>
      </c>
      <c r="N39" s="11" t="s">
        <v>1733</v>
      </c>
      <c r="O39" s="11" t="s">
        <v>1734</v>
      </c>
      <c r="P39" s="11" t="s">
        <v>106</v>
      </c>
      <c r="Q39" s="11" t="s">
        <v>1697</v>
      </c>
      <c r="R39" s="11" t="s">
        <v>1735</v>
      </c>
      <c r="S39" s="11" t="s">
        <v>711</v>
      </c>
      <c r="T39" s="11"/>
      <c r="U39" s="29" t="s">
        <v>1736</v>
      </c>
    </row>
    <row r="40" spans="1:21" ht="110.4" hidden="1">
      <c r="A40" s="11" t="s">
        <v>1737</v>
      </c>
      <c r="B40" s="11" t="s">
        <v>26</v>
      </c>
      <c r="C40" s="11">
        <v>9</v>
      </c>
      <c r="D40" s="11" t="s">
        <v>914</v>
      </c>
      <c r="E40" s="11" t="s">
        <v>1285</v>
      </c>
      <c r="F40" s="11" t="s">
        <v>1738</v>
      </c>
      <c r="G40" s="11" t="s">
        <v>1739</v>
      </c>
      <c r="H40" s="11" t="s">
        <v>1410</v>
      </c>
      <c r="I40" s="16">
        <v>0.75</v>
      </c>
      <c r="J40" s="11" t="s">
        <v>278</v>
      </c>
      <c r="K40" s="11" t="s">
        <v>761</v>
      </c>
      <c r="L40" s="11" t="s">
        <v>1740</v>
      </c>
      <c r="M40" s="11" t="s">
        <v>1741</v>
      </c>
      <c r="N40" s="11" t="s">
        <v>1742</v>
      </c>
      <c r="O40" s="11" t="s">
        <v>1743</v>
      </c>
      <c r="P40" s="11" t="s">
        <v>167</v>
      </c>
      <c r="Q40" s="11" t="s">
        <v>1687</v>
      </c>
      <c r="R40" s="11" t="s">
        <v>1744</v>
      </c>
      <c r="S40" s="11" t="s">
        <v>711</v>
      </c>
      <c r="T40" s="11"/>
      <c r="U40" s="29" t="s">
        <v>1745</v>
      </c>
    </row>
    <row r="41" spans="1:21" ht="110.4" hidden="1">
      <c r="A41" s="11" t="s">
        <v>1746</v>
      </c>
      <c r="B41" s="11" t="s">
        <v>26</v>
      </c>
      <c r="C41" s="11">
        <v>10</v>
      </c>
      <c r="D41" s="11" t="s">
        <v>914</v>
      </c>
      <c r="E41" s="11" t="s">
        <v>1747</v>
      </c>
      <c r="F41" s="11" t="s">
        <v>1748</v>
      </c>
      <c r="G41" s="11" t="s">
        <v>1749</v>
      </c>
      <c r="H41" s="11" t="s">
        <v>1400</v>
      </c>
      <c r="I41" s="16">
        <v>0.75</v>
      </c>
      <c r="J41" s="11" t="s">
        <v>253</v>
      </c>
      <c r="K41" s="11" t="s">
        <v>765</v>
      </c>
      <c r="L41" s="11" t="s">
        <v>1750</v>
      </c>
      <c r="M41" s="11" t="s">
        <v>437</v>
      </c>
      <c r="N41" s="11" t="s">
        <v>1751</v>
      </c>
      <c r="O41" s="11" t="s">
        <v>1752</v>
      </c>
      <c r="P41" s="11" t="s">
        <v>676</v>
      </c>
      <c r="Q41" s="11" t="s">
        <v>1718</v>
      </c>
      <c r="R41" s="11" t="s">
        <v>1753</v>
      </c>
      <c r="S41" s="11" t="s">
        <v>711</v>
      </c>
      <c r="T41" s="11"/>
      <c r="U41" s="29" t="s">
        <v>1754</v>
      </c>
    </row>
    <row r="42" spans="1:21" ht="110.4" hidden="1">
      <c r="A42" s="11" t="s">
        <v>267</v>
      </c>
      <c r="B42" s="11" t="s">
        <v>26</v>
      </c>
      <c r="C42" s="11">
        <v>11</v>
      </c>
      <c r="D42" s="11" t="s">
        <v>914</v>
      </c>
      <c r="E42" s="11" t="s">
        <v>1755</v>
      </c>
      <c r="F42" s="11" t="s">
        <v>1756</v>
      </c>
      <c r="G42" s="11" t="s">
        <v>1757</v>
      </c>
      <c r="H42" s="11" t="s">
        <v>1400</v>
      </c>
      <c r="I42" s="16">
        <v>1</v>
      </c>
      <c r="J42" s="11" t="s">
        <v>263</v>
      </c>
      <c r="K42" s="11" t="s">
        <v>1394</v>
      </c>
      <c r="L42" s="11" t="s">
        <v>1758</v>
      </c>
      <c r="M42" s="11" t="s">
        <v>443</v>
      </c>
      <c r="N42" s="11" t="s">
        <v>1759</v>
      </c>
      <c r="O42" s="11" t="s">
        <v>445</v>
      </c>
      <c r="P42" s="11" t="s">
        <v>642</v>
      </c>
      <c r="Q42" s="11" t="s">
        <v>1746</v>
      </c>
      <c r="R42" s="11" t="s">
        <v>1760</v>
      </c>
      <c r="S42" s="11" t="s">
        <v>711</v>
      </c>
      <c r="T42" s="11"/>
      <c r="U42" s="29" t="s">
        <v>1761</v>
      </c>
    </row>
    <row r="43" spans="1:21" ht="96.6" hidden="1">
      <c r="A43" s="11" t="s">
        <v>1762</v>
      </c>
      <c r="B43" s="11" t="s">
        <v>26</v>
      </c>
      <c r="C43" s="11">
        <v>12</v>
      </c>
      <c r="D43" s="11" t="s">
        <v>914</v>
      </c>
      <c r="E43" s="11" t="s">
        <v>1500</v>
      </c>
      <c r="F43" s="11" t="s">
        <v>1763</v>
      </c>
      <c r="G43" s="11" t="s">
        <v>1764</v>
      </c>
      <c r="H43" s="11" t="s">
        <v>577</v>
      </c>
      <c r="I43" s="16">
        <v>0.75</v>
      </c>
      <c r="J43" s="11" t="s">
        <v>328</v>
      </c>
      <c r="K43" s="11" t="s">
        <v>757</v>
      </c>
      <c r="L43" s="11" t="s">
        <v>1765</v>
      </c>
      <c r="M43" s="11" t="s">
        <v>1766</v>
      </c>
      <c r="N43" s="11" t="s">
        <v>1767</v>
      </c>
      <c r="O43" s="11" t="s">
        <v>1768</v>
      </c>
      <c r="P43" s="11" t="s">
        <v>669</v>
      </c>
      <c r="Q43" s="11" t="s">
        <v>1769</v>
      </c>
      <c r="R43" s="11" t="s">
        <v>1770</v>
      </c>
      <c r="S43" s="11" t="s">
        <v>711</v>
      </c>
      <c r="T43" s="11"/>
      <c r="U43" s="29" t="s">
        <v>1771</v>
      </c>
    </row>
    <row r="44" spans="1:21" ht="69" hidden="1">
      <c r="A44" s="11" t="s">
        <v>1772</v>
      </c>
      <c r="B44" s="11" t="s">
        <v>26</v>
      </c>
      <c r="C44" s="11">
        <v>13</v>
      </c>
      <c r="D44" s="11" t="s">
        <v>914</v>
      </c>
      <c r="E44" s="11" t="s">
        <v>1513</v>
      </c>
      <c r="F44" s="11" t="s">
        <v>1773</v>
      </c>
      <c r="G44" s="11" t="s">
        <v>1774</v>
      </c>
      <c r="H44" s="11" t="s">
        <v>1400</v>
      </c>
      <c r="I44" s="16">
        <v>1</v>
      </c>
      <c r="J44" s="11" t="s">
        <v>1516</v>
      </c>
      <c r="K44" s="11" t="s">
        <v>1394</v>
      </c>
      <c r="L44" s="11" t="s">
        <v>1775</v>
      </c>
      <c r="M44" s="11" t="s">
        <v>1518</v>
      </c>
      <c r="N44" s="11" t="s">
        <v>1519</v>
      </c>
      <c r="O44" s="11" t="s">
        <v>1776</v>
      </c>
      <c r="P44" s="11" t="s">
        <v>1777</v>
      </c>
      <c r="Q44" s="11" t="s">
        <v>1762</v>
      </c>
      <c r="R44" s="11" t="s">
        <v>1522</v>
      </c>
      <c r="S44" s="11" t="s">
        <v>711</v>
      </c>
      <c r="T44" s="11" t="s">
        <v>1778</v>
      </c>
      <c r="U44" s="29" t="s">
        <v>1779</v>
      </c>
    </row>
    <row r="45" spans="1:21" ht="110.4" hidden="1">
      <c r="A45" s="11" t="s">
        <v>1780</v>
      </c>
      <c r="B45" s="11" t="s">
        <v>27</v>
      </c>
      <c r="C45" s="11">
        <v>1</v>
      </c>
      <c r="D45" s="11" t="s">
        <v>914</v>
      </c>
      <c r="E45" s="11" t="s">
        <v>1781</v>
      </c>
      <c r="F45" s="11" t="s">
        <v>1782</v>
      </c>
      <c r="G45" s="11" t="s">
        <v>1783</v>
      </c>
      <c r="H45" s="11" t="s">
        <v>1410</v>
      </c>
      <c r="I45" s="16">
        <v>1.5</v>
      </c>
      <c r="J45" s="11" t="s">
        <v>268</v>
      </c>
      <c r="K45" s="11" t="s">
        <v>748</v>
      </c>
      <c r="L45" s="11" t="s">
        <v>1784</v>
      </c>
      <c r="M45" s="11" t="s">
        <v>448</v>
      </c>
      <c r="N45" s="11" t="s">
        <v>1785</v>
      </c>
      <c r="O45" s="11" t="s">
        <v>1786</v>
      </c>
      <c r="P45" s="11" t="s">
        <v>99</v>
      </c>
      <c r="Q45" s="11" t="s">
        <v>1772</v>
      </c>
      <c r="R45" s="11" t="s">
        <v>1787</v>
      </c>
      <c r="S45" s="11" t="s">
        <v>711</v>
      </c>
      <c r="T45" s="11"/>
      <c r="U45" s="29" t="s">
        <v>1788</v>
      </c>
    </row>
    <row r="46" spans="1:21" ht="110.4" hidden="1">
      <c r="A46" s="11" t="s">
        <v>1789</v>
      </c>
      <c r="B46" s="11" t="s">
        <v>27</v>
      </c>
      <c r="C46" s="11">
        <v>2</v>
      </c>
      <c r="D46" s="11" t="s">
        <v>914</v>
      </c>
      <c r="E46" s="11" t="s">
        <v>1595</v>
      </c>
      <c r="F46" s="11" t="s">
        <v>1790</v>
      </c>
      <c r="G46" s="11" t="s">
        <v>1791</v>
      </c>
      <c r="H46" s="11" t="s">
        <v>1410</v>
      </c>
      <c r="I46" s="16">
        <v>1</v>
      </c>
      <c r="J46" s="11" t="s">
        <v>268</v>
      </c>
      <c r="K46" s="11" t="s">
        <v>748</v>
      </c>
      <c r="L46" s="11" t="s">
        <v>1792</v>
      </c>
      <c r="M46" s="11" t="s">
        <v>1793</v>
      </c>
      <c r="N46" s="11" t="s">
        <v>1794</v>
      </c>
      <c r="O46" s="11" t="s">
        <v>1795</v>
      </c>
      <c r="P46" s="11" t="s">
        <v>106</v>
      </c>
      <c r="Q46" s="11" t="s">
        <v>1780</v>
      </c>
      <c r="R46" s="11" t="s">
        <v>1796</v>
      </c>
      <c r="S46" s="11" t="s">
        <v>711</v>
      </c>
      <c r="T46" s="11"/>
      <c r="U46" s="29" t="s">
        <v>1797</v>
      </c>
    </row>
    <row r="47" spans="1:21" ht="110.4" hidden="1">
      <c r="A47" s="11" t="s">
        <v>1798</v>
      </c>
      <c r="B47" s="11" t="s">
        <v>27</v>
      </c>
      <c r="C47" s="11">
        <v>3</v>
      </c>
      <c r="D47" s="11" t="s">
        <v>914</v>
      </c>
      <c r="E47" s="11" t="s">
        <v>1799</v>
      </c>
      <c r="F47" s="11" t="s">
        <v>1800</v>
      </c>
      <c r="G47" s="11" t="s">
        <v>1801</v>
      </c>
      <c r="H47" s="11" t="s">
        <v>1410</v>
      </c>
      <c r="I47" s="16">
        <v>1.25</v>
      </c>
      <c r="J47" s="11" t="s">
        <v>273</v>
      </c>
      <c r="K47" s="11" t="s">
        <v>757</v>
      </c>
      <c r="L47" s="11" t="s">
        <v>1802</v>
      </c>
      <c r="M47" s="11" t="s">
        <v>1803</v>
      </c>
      <c r="N47" s="11" t="s">
        <v>1804</v>
      </c>
      <c r="O47" s="11" t="s">
        <v>1805</v>
      </c>
      <c r="P47" s="11" t="s">
        <v>131</v>
      </c>
      <c r="Q47" s="11" t="s">
        <v>1789</v>
      </c>
      <c r="R47" s="11" t="s">
        <v>1806</v>
      </c>
      <c r="S47" s="11" t="s">
        <v>711</v>
      </c>
      <c r="T47" s="11"/>
      <c r="U47" s="29" t="s">
        <v>1807</v>
      </c>
    </row>
    <row r="48" spans="1:21" ht="96.6" hidden="1">
      <c r="A48" s="11" t="s">
        <v>1808</v>
      </c>
      <c r="B48" s="11" t="s">
        <v>27</v>
      </c>
      <c r="C48" s="11">
        <v>4</v>
      </c>
      <c r="D48" s="11" t="s">
        <v>914</v>
      </c>
      <c r="E48" s="11" t="s">
        <v>1809</v>
      </c>
      <c r="F48" s="11" t="s">
        <v>1810</v>
      </c>
      <c r="G48" s="11" t="s">
        <v>1811</v>
      </c>
      <c r="H48" s="11" t="s">
        <v>1410</v>
      </c>
      <c r="I48" s="16">
        <v>0.75</v>
      </c>
      <c r="J48" s="11" t="s">
        <v>273</v>
      </c>
      <c r="K48" s="11" t="s">
        <v>1394</v>
      </c>
      <c r="L48" s="11" t="s">
        <v>1812</v>
      </c>
      <c r="M48" s="11" t="s">
        <v>1813</v>
      </c>
      <c r="N48" s="11" t="s">
        <v>1814</v>
      </c>
      <c r="O48" s="11" t="s">
        <v>1815</v>
      </c>
      <c r="P48" s="11" t="s">
        <v>131</v>
      </c>
      <c r="Q48" s="11" t="s">
        <v>1798</v>
      </c>
      <c r="R48" s="11" t="s">
        <v>1816</v>
      </c>
      <c r="S48" s="11" t="s">
        <v>711</v>
      </c>
      <c r="T48" s="11"/>
      <c r="U48" s="29" t="s">
        <v>1817</v>
      </c>
    </row>
    <row r="49" spans="1:21" ht="96.6" hidden="1">
      <c r="A49" s="11" t="s">
        <v>1818</v>
      </c>
      <c r="B49" s="11" t="s">
        <v>27</v>
      </c>
      <c r="C49" s="11">
        <v>5</v>
      </c>
      <c r="D49" s="11" t="s">
        <v>914</v>
      </c>
      <c r="E49" s="11" t="s">
        <v>1819</v>
      </c>
      <c r="F49" s="11" t="s">
        <v>1820</v>
      </c>
      <c r="G49" s="11" t="s">
        <v>1821</v>
      </c>
      <c r="H49" s="11" t="s">
        <v>1410</v>
      </c>
      <c r="I49" s="16">
        <v>1.25</v>
      </c>
      <c r="J49" s="11" t="s">
        <v>273</v>
      </c>
      <c r="K49" s="11" t="s">
        <v>757</v>
      </c>
      <c r="L49" s="11" t="s">
        <v>1822</v>
      </c>
      <c r="M49" s="11" t="s">
        <v>453</v>
      </c>
      <c r="N49" s="11" t="s">
        <v>1823</v>
      </c>
      <c r="O49" s="11" t="s">
        <v>1824</v>
      </c>
      <c r="P49" s="11" t="s">
        <v>137</v>
      </c>
      <c r="Q49" s="11" t="s">
        <v>1825</v>
      </c>
      <c r="R49" s="11" t="s">
        <v>1826</v>
      </c>
      <c r="S49" s="11" t="s">
        <v>711</v>
      </c>
      <c r="T49" s="11"/>
      <c r="U49" s="29" t="s">
        <v>1827</v>
      </c>
    </row>
    <row r="50" spans="1:21" ht="110.4" hidden="1">
      <c r="A50" s="11" t="s">
        <v>1828</v>
      </c>
      <c r="B50" s="11" t="s">
        <v>27</v>
      </c>
      <c r="C50" s="11">
        <v>6</v>
      </c>
      <c r="D50" s="11" t="s">
        <v>914</v>
      </c>
      <c r="E50" s="11" t="s">
        <v>1829</v>
      </c>
      <c r="F50" s="11" t="s">
        <v>1830</v>
      </c>
      <c r="G50" s="11" t="s">
        <v>1831</v>
      </c>
      <c r="H50" s="11" t="s">
        <v>1410</v>
      </c>
      <c r="I50" s="16">
        <v>1</v>
      </c>
      <c r="J50" s="11" t="s">
        <v>273</v>
      </c>
      <c r="K50" s="11" t="s">
        <v>768</v>
      </c>
      <c r="L50" s="11" t="s">
        <v>1832</v>
      </c>
      <c r="M50" s="11" t="s">
        <v>1833</v>
      </c>
      <c r="N50" s="11" t="s">
        <v>1834</v>
      </c>
      <c r="O50" s="11" t="s">
        <v>1835</v>
      </c>
      <c r="P50" s="11" t="s">
        <v>131</v>
      </c>
      <c r="Q50" s="11" t="s">
        <v>1798</v>
      </c>
      <c r="R50" s="11" t="s">
        <v>1836</v>
      </c>
      <c r="S50" s="11" t="s">
        <v>711</v>
      </c>
      <c r="T50" s="11"/>
      <c r="U50" s="29" t="s">
        <v>1837</v>
      </c>
    </row>
    <row r="51" spans="1:21" ht="96.6" hidden="1">
      <c r="A51" s="11" t="s">
        <v>1838</v>
      </c>
      <c r="B51" s="11" t="s">
        <v>27</v>
      </c>
      <c r="C51" s="11">
        <v>7</v>
      </c>
      <c r="D51" s="11" t="s">
        <v>914</v>
      </c>
      <c r="E51" s="11" t="s">
        <v>1839</v>
      </c>
      <c r="F51" s="11" t="s">
        <v>1840</v>
      </c>
      <c r="G51" s="11" t="s">
        <v>1841</v>
      </c>
      <c r="H51" s="11" t="s">
        <v>1410</v>
      </c>
      <c r="I51" s="16">
        <v>0.75</v>
      </c>
      <c r="J51" s="11" t="s">
        <v>273</v>
      </c>
      <c r="K51" s="11" t="s">
        <v>775</v>
      </c>
      <c r="L51" s="11" t="s">
        <v>1842</v>
      </c>
      <c r="M51" s="11" t="s">
        <v>1843</v>
      </c>
      <c r="N51" s="11" t="s">
        <v>1844</v>
      </c>
      <c r="O51" s="11" t="s">
        <v>1845</v>
      </c>
      <c r="P51" s="11" t="s">
        <v>106</v>
      </c>
      <c r="Q51" s="11" t="s">
        <v>1818</v>
      </c>
      <c r="R51" s="11" t="s">
        <v>1846</v>
      </c>
      <c r="S51" s="11" t="s">
        <v>711</v>
      </c>
      <c r="T51" s="11"/>
      <c r="U51" s="29" t="s">
        <v>1847</v>
      </c>
    </row>
    <row r="52" spans="1:21" ht="110.4" hidden="1">
      <c r="A52" s="11" t="s">
        <v>1848</v>
      </c>
      <c r="B52" s="11" t="s">
        <v>27</v>
      </c>
      <c r="C52" s="11">
        <v>8</v>
      </c>
      <c r="D52" s="11" t="s">
        <v>914</v>
      </c>
      <c r="E52" s="11" t="s">
        <v>462</v>
      </c>
      <c r="F52" s="11" t="s">
        <v>1849</v>
      </c>
      <c r="G52" s="11" t="s">
        <v>1850</v>
      </c>
      <c r="H52" s="11" t="s">
        <v>1410</v>
      </c>
      <c r="I52" s="16">
        <v>1</v>
      </c>
      <c r="J52" s="11" t="s">
        <v>278</v>
      </c>
      <c r="K52" s="11" t="s">
        <v>761</v>
      </c>
      <c r="L52" s="11" t="s">
        <v>1851</v>
      </c>
      <c r="M52" s="11" t="s">
        <v>1852</v>
      </c>
      <c r="N52" s="11" t="s">
        <v>1853</v>
      </c>
      <c r="O52" s="11" t="s">
        <v>1854</v>
      </c>
      <c r="P52" s="11" t="s">
        <v>167</v>
      </c>
      <c r="Q52" s="11" t="s">
        <v>1855</v>
      </c>
      <c r="R52" s="11" t="s">
        <v>1856</v>
      </c>
      <c r="S52" s="11" t="s">
        <v>711</v>
      </c>
      <c r="T52" s="11"/>
      <c r="U52" s="29" t="s">
        <v>1857</v>
      </c>
    </row>
    <row r="53" spans="1:21" ht="110.4" hidden="1">
      <c r="A53" s="11" t="s">
        <v>1858</v>
      </c>
      <c r="B53" s="11" t="s">
        <v>27</v>
      </c>
      <c r="C53" s="11">
        <v>9</v>
      </c>
      <c r="D53" s="11" t="s">
        <v>914</v>
      </c>
      <c r="E53" s="11" t="s">
        <v>1859</v>
      </c>
      <c r="F53" s="11" t="s">
        <v>1860</v>
      </c>
      <c r="G53" s="11" t="s">
        <v>1861</v>
      </c>
      <c r="H53" s="11" t="s">
        <v>1410</v>
      </c>
      <c r="I53" s="16">
        <v>1</v>
      </c>
      <c r="J53" s="11" t="s">
        <v>273</v>
      </c>
      <c r="K53" s="11" t="s">
        <v>1394</v>
      </c>
      <c r="L53" s="11" t="s">
        <v>1862</v>
      </c>
      <c r="M53" s="11" t="s">
        <v>1863</v>
      </c>
      <c r="N53" s="11" t="s">
        <v>1864</v>
      </c>
      <c r="O53" s="11" t="s">
        <v>1865</v>
      </c>
      <c r="P53" s="11" t="s">
        <v>1866</v>
      </c>
      <c r="Q53" s="11" t="s">
        <v>1867</v>
      </c>
      <c r="R53" s="11" t="s">
        <v>1868</v>
      </c>
      <c r="S53" s="11" t="s">
        <v>711</v>
      </c>
      <c r="T53" s="11"/>
      <c r="U53" s="29" t="s">
        <v>1869</v>
      </c>
    </row>
    <row r="54" spans="1:21" ht="110.4" hidden="1">
      <c r="A54" s="11" t="s">
        <v>1870</v>
      </c>
      <c r="B54" s="11" t="s">
        <v>27</v>
      </c>
      <c r="C54" s="11">
        <v>10</v>
      </c>
      <c r="D54" s="11" t="s">
        <v>954</v>
      </c>
      <c r="E54" s="11" t="s">
        <v>1871</v>
      </c>
      <c r="F54" s="11" t="s">
        <v>1872</v>
      </c>
      <c r="G54" s="11" t="s">
        <v>1873</v>
      </c>
      <c r="H54" s="11" t="s">
        <v>1410</v>
      </c>
      <c r="I54" s="16">
        <v>0.75</v>
      </c>
      <c r="J54" s="11" t="s">
        <v>268</v>
      </c>
      <c r="K54" s="11" t="s">
        <v>768</v>
      </c>
      <c r="L54" s="11" t="s">
        <v>1874</v>
      </c>
      <c r="M54" s="11" t="s">
        <v>1875</v>
      </c>
      <c r="N54" s="11" t="s">
        <v>1876</v>
      </c>
      <c r="O54" s="11" t="s">
        <v>1877</v>
      </c>
      <c r="P54" s="11" t="s">
        <v>1878</v>
      </c>
      <c r="Q54" s="11" t="s">
        <v>1879</v>
      </c>
      <c r="R54" s="11" t="s">
        <v>1880</v>
      </c>
      <c r="S54" s="11" t="s">
        <v>711</v>
      </c>
      <c r="T54" s="11"/>
      <c r="U54" s="29" t="s">
        <v>1881</v>
      </c>
    </row>
    <row r="55" spans="1:21" ht="110.4" hidden="1">
      <c r="A55" s="11" t="s">
        <v>287</v>
      </c>
      <c r="B55" s="11" t="s">
        <v>27</v>
      </c>
      <c r="C55" s="11">
        <v>11</v>
      </c>
      <c r="D55" s="11" t="s">
        <v>914</v>
      </c>
      <c r="E55" s="11" t="s">
        <v>803</v>
      </c>
      <c r="F55" s="11" t="s">
        <v>1882</v>
      </c>
      <c r="G55" s="11" t="s">
        <v>1883</v>
      </c>
      <c r="H55" s="11" t="s">
        <v>1400</v>
      </c>
      <c r="I55" s="16">
        <v>1</v>
      </c>
      <c r="J55" s="11" t="s">
        <v>283</v>
      </c>
      <c r="K55" s="11" t="s">
        <v>1394</v>
      </c>
      <c r="L55" s="11" t="s">
        <v>1884</v>
      </c>
      <c r="M55" s="11" t="s">
        <v>469</v>
      </c>
      <c r="N55" s="11" t="s">
        <v>1885</v>
      </c>
      <c r="O55" s="11" t="s">
        <v>471</v>
      </c>
      <c r="P55" s="11" t="s">
        <v>642</v>
      </c>
      <c r="Q55" s="11" t="s">
        <v>1886</v>
      </c>
      <c r="R55" s="11" t="s">
        <v>1887</v>
      </c>
      <c r="S55" s="11" t="s">
        <v>711</v>
      </c>
      <c r="T55" s="11"/>
      <c r="U55" s="29" t="s">
        <v>1888</v>
      </c>
    </row>
    <row r="56" spans="1:21" ht="96.6" hidden="1">
      <c r="A56" s="11" t="s">
        <v>1889</v>
      </c>
      <c r="B56" s="11" t="s">
        <v>27</v>
      </c>
      <c r="C56" s="11">
        <v>12</v>
      </c>
      <c r="D56" s="11" t="s">
        <v>914</v>
      </c>
      <c r="E56" s="11" t="s">
        <v>1500</v>
      </c>
      <c r="F56" s="11" t="s">
        <v>1890</v>
      </c>
      <c r="G56" s="11" t="s">
        <v>1891</v>
      </c>
      <c r="H56" s="11" t="s">
        <v>577</v>
      </c>
      <c r="I56" s="16">
        <v>0.75</v>
      </c>
      <c r="J56" s="11" t="s">
        <v>328</v>
      </c>
      <c r="K56" s="11" t="s">
        <v>1892</v>
      </c>
      <c r="L56" s="11" t="s">
        <v>1893</v>
      </c>
      <c r="M56" s="11" t="s">
        <v>1894</v>
      </c>
      <c r="N56" s="11" t="s">
        <v>1895</v>
      </c>
      <c r="O56" s="11" t="s">
        <v>1896</v>
      </c>
      <c r="P56" s="11" t="s">
        <v>669</v>
      </c>
      <c r="Q56" s="11" t="s">
        <v>1897</v>
      </c>
      <c r="R56" s="11" t="s">
        <v>1898</v>
      </c>
      <c r="S56" s="11" t="s">
        <v>711</v>
      </c>
      <c r="T56" s="11"/>
      <c r="U56" s="29" t="s">
        <v>1899</v>
      </c>
    </row>
    <row r="57" spans="1:21" ht="69" hidden="1">
      <c r="A57" s="11" t="s">
        <v>1900</v>
      </c>
      <c r="B57" s="11" t="s">
        <v>27</v>
      </c>
      <c r="C57" s="11">
        <v>13</v>
      </c>
      <c r="D57" s="11" t="s">
        <v>914</v>
      </c>
      <c r="E57" s="11" t="s">
        <v>1513</v>
      </c>
      <c r="F57" s="11" t="s">
        <v>1901</v>
      </c>
      <c r="G57" s="11" t="s">
        <v>1902</v>
      </c>
      <c r="H57" s="11" t="s">
        <v>1400</v>
      </c>
      <c r="I57" s="16">
        <v>1</v>
      </c>
      <c r="J57" s="11" t="s">
        <v>1516</v>
      </c>
      <c r="K57" s="11" t="s">
        <v>1394</v>
      </c>
      <c r="L57" s="11" t="s">
        <v>1903</v>
      </c>
      <c r="M57" s="11" t="s">
        <v>1518</v>
      </c>
      <c r="N57" s="11" t="s">
        <v>1519</v>
      </c>
      <c r="O57" s="11" t="s">
        <v>1904</v>
      </c>
      <c r="P57" s="11" t="s">
        <v>1905</v>
      </c>
      <c r="Q57" s="11" t="s">
        <v>1889</v>
      </c>
      <c r="R57" s="11" t="s">
        <v>1522</v>
      </c>
      <c r="S57" s="11" t="s">
        <v>711</v>
      </c>
      <c r="T57" s="11" t="s">
        <v>1906</v>
      </c>
      <c r="U57" s="29" t="s">
        <v>1907</v>
      </c>
    </row>
    <row r="58" spans="1:21" ht="96.6" hidden="1">
      <c r="A58" s="11" t="s">
        <v>292</v>
      </c>
      <c r="B58" s="11" t="s">
        <v>28</v>
      </c>
      <c r="C58" s="11">
        <v>1</v>
      </c>
      <c r="D58" s="11" t="s">
        <v>914</v>
      </c>
      <c r="E58" s="11" t="s">
        <v>1908</v>
      </c>
      <c r="F58" s="11" t="s">
        <v>1909</v>
      </c>
      <c r="G58" s="11" t="s">
        <v>1910</v>
      </c>
      <c r="H58" s="11" t="s">
        <v>577</v>
      </c>
      <c r="I58" s="16">
        <v>1</v>
      </c>
      <c r="J58" s="11" t="s">
        <v>288</v>
      </c>
      <c r="K58" s="11" t="s">
        <v>1911</v>
      </c>
      <c r="L58" s="11" t="s">
        <v>1912</v>
      </c>
      <c r="M58" s="11" t="s">
        <v>1913</v>
      </c>
      <c r="N58" s="11" t="s">
        <v>1914</v>
      </c>
      <c r="O58" s="11" t="s">
        <v>1915</v>
      </c>
      <c r="P58" s="11" t="s">
        <v>1455</v>
      </c>
      <c r="Q58" s="11" t="s">
        <v>1900</v>
      </c>
      <c r="R58" s="11" t="s">
        <v>1916</v>
      </c>
      <c r="S58" s="11" t="s">
        <v>711</v>
      </c>
      <c r="T58" s="11"/>
      <c r="U58" s="29" t="s">
        <v>1917</v>
      </c>
    </row>
    <row r="59" spans="1:21" ht="110.4" hidden="1">
      <c r="A59" s="11" t="s">
        <v>1918</v>
      </c>
      <c r="B59" s="11" t="s">
        <v>28</v>
      </c>
      <c r="C59" s="11">
        <v>2</v>
      </c>
      <c r="D59" s="11" t="s">
        <v>914</v>
      </c>
      <c r="E59" s="11" t="s">
        <v>1919</v>
      </c>
      <c r="F59" s="11" t="s">
        <v>1920</v>
      </c>
      <c r="G59" s="11" t="s">
        <v>1921</v>
      </c>
      <c r="H59" s="11" t="s">
        <v>1410</v>
      </c>
      <c r="I59" s="16">
        <v>1.25</v>
      </c>
      <c r="J59" s="11" t="s">
        <v>293</v>
      </c>
      <c r="K59" s="11" t="s">
        <v>1469</v>
      </c>
      <c r="L59" s="11" t="s">
        <v>1922</v>
      </c>
      <c r="M59" s="11" t="s">
        <v>1923</v>
      </c>
      <c r="N59" s="11" t="s">
        <v>1924</v>
      </c>
      <c r="O59" s="11" t="s">
        <v>1925</v>
      </c>
      <c r="P59" s="11" t="s">
        <v>621</v>
      </c>
      <c r="Q59" s="11" t="s">
        <v>292</v>
      </c>
      <c r="R59" s="11" t="s">
        <v>1926</v>
      </c>
      <c r="S59" s="11" t="s">
        <v>711</v>
      </c>
      <c r="T59" s="11"/>
      <c r="U59" s="29" t="s">
        <v>1927</v>
      </c>
    </row>
    <row r="60" spans="1:21" ht="110.4" hidden="1">
      <c r="A60" s="11" t="s">
        <v>1928</v>
      </c>
      <c r="B60" s="11" t="s">
        <v>28</v>
      </c>
      <c r="C60" s="11">
        <v>3</v>
      </c>
      <c r="D60" s="11" t="s">
        <v>914</v>
      </c>
      <c r="E60" s="11" t="s">
        <v>1929</v>
      </c>
      <c r="F60" s="11" t="s">
        <v>1930</v>
      </c>
      <c r="G60" s="11" t="s">
        <v>1931</v>
      </c>
      <c r="H60" s="11" t="s">
        <v>1410</v>
      </c>
      <c r="I60" s="16">
        <v>1.25</v>
      </c>
      <c r="J60" s="11" t="s">
        <v>293</v>
      </c>
      <c r="K60" s="11" t="s">
        <v>1932</v>
      </c>
      <c r="L60" s="11" t="s">
        <v>1933</v>
      </c>
      <c r="M60" s="11" t="s">
        <v>1934</v>
      </c>
      <c r="N60" s="11" t="s">
        <v>1935</v>
      </c>
      <c r="O60" s="11" t="s">
        <v>1936</v>
      </c>
      <c r="P60" s="11" t="s">
        <v>1937</v>
      </c>
      <c r="Q60" s="11" t="s">
        <v>1938</v>
      </c>
      <c r="R60" s="11" t="s">
        <v>1939</v>
      </c>
      <c r="S60" s="11" t="s">
        <v>711</v>
      </c>
      <c r="T60" s="11"/>
      <c r="U60" s="29" t="s">
        <v>1940</v>
      </c>
    </row>
    <row r="61" spans="1:21" ht="96.6" hidden="1">
      <c r="A61" s="11" t="s">
        <v>1941</v>
      </c>
      <c r="B61" s="11" t="s">
        <v>28</v>
      </c>
      <c r="C61" s="11">
        <v>4</v>
      </c>
      <c r="D61" s="11" t="s">
        <v>914</v>
      </c>
      <c r="E61" s="11" t="s">
        <v>1942</v>
      </c>
      <c r="F61" s="11" t="s">
        <v>1943</v>
      </c>
      <c r="G61" s="11" t="s">
        <v>1944</v>
      </c>
      <c r="H61" s="11" t="s">
        <v>1410</v>
      </c>
      <c r="I61" s="16">
        <v>1.25</v>
      </c>
      <c r="J61" s="11" t="s">
        <v>293</v>
      </c>
      <c r="K61" s="11" t="s">
        <v>1945</v>
      </c>
      <c r="L61" s="11" t="s">
        <v>1946</v>
      </c>
      <c r="M61" s="11" t="s">
        <v>1947</v>
      </c>
      <c r="N61" s="11" t="s">
        <v>1948</v>
      </c>
      <c r="O61" s="11" t="s">
        <v>1949</v>
      </c>
      <c r="P61" s="11" t="s">
        <v>1950</v>
      </c>
      <c r="Q61" s="11" t="s">
        <v>292</v>
      </c>
      <c r="R61" s="11" t="s">
        <v>1951</v>
      </c>
      <c r="S61" s="11" t="s">
        <v>711</v>
      </c>
      <c r="T61" s="11"/>
      <c r="U61" s="29" t="s">
        <v>1952</v>
      </c>
    </row>
    <row r="62" spans="1:21" ht="110.4" hidden="1">
      <c r="A62" s="11" t="s">
        <v>1953</v>
      </c>
      <c r="B62" s="11" t="s">
        <v>28</v>
      </c>
      <c r="C62" s="11">
        <v>5</v>
      </c>
      <c r="D62" s="11" t="s">
        <v>914</v>
      </c>
      <c r="E62" s="11" t="s">
        <v>1954</v>
      </c>
      <c r="F62" s="11" t="s">
        <v>1955</v>
      </c>
      <c r="G62" s="11" t="s">
        <v>1956</v>
      </c>
      <c r="H62" s="11" t="s">
        <v>1410</v>
      </c>
      <c r="I62" s="16">
        <v>1.5</v>
      </c>
      <c r="J62" s="11" t="s">
        <v>293</v>
      </c>
      <c r="K62" s="11" t="s">
        <v>1957</v>
      </c>
      <c r="L62" s="11" t="s">
        <v>1958</v>
      </c>
      <c r="M62" s="11" t="s">
        <v>1959</v>
      </c>
      <c r="N62" s="11" t="s">
        <v>1960</v>
      </c>
      <c r="O62" s="11" t="s">
        <v>1961</v>
      </c>
      <c r="P62" s="11" t="s">
        <v>1962</v>
      </c>
      <c r="Q62" s="11" t="s">
        <v>1963</v>
      </c>
      <c r="R62" s="11" t="s">
        <v>1964</v>
      </c>
      <c r="S62" s="11" t="s">
        <v>711</v>
      </c>
      <c r="T62" s="11"/>
      <c r="U62" s="29" t="s">
        <v>1965</v>
      </c>
    </row>
    <row r="63" spans="1:21" ht="110.4" hidden="1">
      <c r="A63" s="11" t="s">
        <v>307</v>
      </c>
      <c r="B63" s="11" t="s">
        <v>28</v>
      </c>
      <c r="C63" s="11">
        <v>6</v>
      </c>
      <c r="D63" s="11" t="s">
        <v>914</v>
      </c>
      <c r="E63" s="11" t="s">
        <v>1966</v>
      </c>
      <c r="F63" s="11" t="s">
        <v>1967</v>
      </c>
      <c r="G63" s="11" t="s">
        <v>1968</v>
      </c>
      <c r="H63" s="11" t="s">
        <v>1410</v>
      </c>
      <c r="I63" s="16">
        <v>1</v>
      </c>
      <c r="J63" s="11" t="s">
        <v>303</v>
      </c>
      <c r="K63" s="11" t="s">
        <v>1969</v>
      </c>
      <c r="L63" s="11" t="s">
        <v>1970</v>
      </c>
      <c r="M63" s="11" t="s">
        <v>1971</v>
      </c>
      <c r="N63" s="11" t="s">
        <v>1972</v>
      </c>
      <c r="O63" s="11" t="s">
        <v>1973</v>
      </c>
      <c r="P63" s="11" t="s">
        <v>1974</v>
      </c>
      <c r="Q63" s="11" t="s">
        <v>1975</v>
      </c>
      <c r="R63" s="11" t="s">
        <v>1976</v>
      </c>
      <c r="S63" s="11" t="s">
        <v>711</v>
      </c>
      <c r="T63" s="11"/>
      <c r="U63" s="29" t="s">
        <v>1977</v>
      </c>
    </row>
    <row r="64" spans="1:21" ht="110.4" hidden="1">
      <c r="A64" s="11" t="s">
        <v>1978</v>
      </c>
      <c r="B64" s="11" t="s">
        <v>28</v>
      </c>
      <c r="C64" s="11">
        <v>7</v>
      </c>
      <c r="D64" s="11" t="s">
        <v>914</v>
      </c>
      <c r="E64" s="11" t="s">
        <v>739</v>
      </c>
      <c r="F64" s="11" t="s">
        <v>1979</v>
      </c>
      <c r="G64" s="11" t="s">
        <v>1980</v>
      </c>
      <c r="H64" s="11" t="s">
        <v>1410</v>
      </c>
      <c r="I64" s="16">
        <v>1.5</v>
      </c>
      <c r="J64" s="11" t="s">
        <v>298</v>
      </c>
      <c r="K64" s="11" t="s">
        <v>738</v>
      </c>
      <c r="L64" s="11" t="s">
        <v>1981</v>
      </c>
      <c r="M64" s="11" t="s">
        <v>1982</v>
      </c>
      <c r="N64" s="11" t="s">
        <v>1983</v>
      </c>
      <c r="O64" s="11" t="s">
        <v>1984</v>
      </c>
      <c r="P64" s="11" t="s">
        <v>1455</v>
      </c>
      <c r="Q64" s="11" t="s">
        <v>1985</v>
      </c>
      <c r="R64" s="11" t="s">
        <v>1986</v>
      </c>
      <c r="S64" s="11" t="s">
        <v>711</v>
      </c>
      <c r="T64" s="11"/>
      <c r="U64" s="29" t="s">
        <v>1987</v>
      </c>
    </row>
    <row r="65" spans="1:21" ht="110.4" hidden="1">
      <c r="A65" s="11" t="s">
        <v>1988</v>
      </c>
      <c r="B65" s="11" t="s">
        <v>28</v>
      </c>
      <c r="C65" s="11">
        <v>8</v>
      </c>
      <c r="D65" s="11" t="s">
        <v>914</v>
      </c>
      <c r="E65" s="11" t="s">
        <v>490</v>
      </c>
      <c r="F65" s="11" t="s">
        <v>1989</v>
      </c>
      <c r="G65" s="11" t="s">
        <v>1990</v>
      </c>
      <c r="H65" s="11" t="s">
        <v>1410</v>
      </c>
      <c r="I65" s="16">
        <v>1</v>
      </c>
      <c r="J65" s="11" t="s">
        <v>298</v>
      </c>
      <c r="K65" s="11" t="s">
        <v>1394</v>
      </c>
      <c r="L65" s="11" t="s">
        <v>1991</v>
      </c>
      <c r="M65" s="11" t="s">
        <v>1992</v>
      </c>
      <c r="N65" s="11" t="s">
        <v>1993</v>
      </c>
      <c r="O65" s="11" t="s">
        <v>1994</v>
      </c>
      <c r="P65" s="11" t="s">
        <v>676</v>
      </c>
      <c r="Q65" s="11" t="s">
        <v>1978</v>
      </c>
      <c r="R65" s="11" t="s">
        <v>1995</v>
      </c>
      <c r="S65" s="11" t="s">
        <v>711</v>
      </c>
      <c r="T65" s="11"/>
      <c r="U65" s="29" t="s">
        <v>1996</v>
      </c>
    </row>
    <row r="66" spans="1:21" ht="110.4" hidden="1">
      <c r="A66" s="11" t="s">
        <v>1997</v>
      </c>
      <c r="B66" s="11" t="s">
        <v>28</v>
      </c>
      <c r="C66" s="11">
        <v>9</v>
      </c>
      <c r="D66" s="11" t="s">
        <v>914</v>
      </c>
      <c r="E66" s="11" t="s">
        <v>1998</v>
      </c>
      <c r="F66" s="11" t="s">
        <v>1999</v>
      </c>
      <c r="G66" s="11" t="s">
        <v>2000</v>
      </c>
      <c r="H66" s="11" t="s">
        <v>1400</v>
      </c>
      <c r="I66" s="16">
        <v>1</v>
      </c>
      <c r="J66" s="11" t="s">
        <v>308</v>
      </c>
      <c r="K66" s="11" t="s">
        <v>768</v>
      </c>
      <c r="L66" s="11" t="s">
        <v>2001</v>
      </c>
      <c r="M66" s="11" t="s">
        <v>486</v>
      </c>
      <c r="N66" s="11" t="s">
        <v>2002</v>
      </c>
      <c r="O66" s="11" t="s">
        <v>488</v>
      </c>
      <c r="P66" s="11" t="s">
        <v>1455</v>
      </c>
      <c r="Q66" s="11" t="s">
        <v>2003</v>
      </c>
      <c r="R66" s="11" t="s">
        <v>2004</v>
      </c>
      <c r="S66" s="11" t="s">
        <v>711</v>
      </c>
      <c r="T66" s="11"/>
      <c r="U66" s="29" t="s">
        <v>2005</v>
      </c>
    </row>
    <row r="67" spans="1:21" ht="124.2" hidden="1">
      <c r="A67" s="11" t="s">
        <v>2006</v>
      </c>
      <c r="B67" s="11" t="s">
        <v>28</v>
      </c>
      <c r="C67" s="11">
        <v>10</v>
      </c>
      <c r="D67" s="11" t="s">
        <v>914</v>
      </c>
      <c r="E67" s="11" t="s">
        <v>2007</v>
      </c>
      <c r="F67" s="11" t="s">
        <v>2008</v>
      </c>
      <c r="G67" s="11" t="s">
        <v>2009</v>
      </c>
      <c r="H67" s="11" t="s">
        <v>577</v>
      </c>
      <c r="I67" s="16">
        <v>1.5</v>
      </c>
      <c r="J67" s="11" t="s">
        <v>308</v>
      </c>
      <c r="K67" s="11" t="s">
        <v>781</v>
      </c>
      <c r="L67" s="11" t="s">
        <v>2010</v>
      </c>
      <c r="M67" s="11" t="s">
        <v>2011</v>
      </c>
      <c r="N67" s="11" t="s">
        <v>2012</v>
      </c>
      <c r="O67" s="11" t="s">
        <v>2013</v>
      </c>
      <c r="P67" s="11" t="s">
        <v>642</v>
      </c>
      <c r="Q67" s="11" t="s">
        <v>1997</v>
      </c>
      <c r="R67" s="11" t="s">
        <v>2014</v>
      </c>
      <c r="S67" s="11" t="s">
        <v>711</v>
      </c>
      <c r="T67" s="11"/>
      <c r="U67" s="29" t="s">
        <v>2015</v>
      </c>
    </row>
    <row r="68" spans="1:21" ht="110.4" hidden="1">
      <c r="A68" s="11" t="s">
        <v>2016</v>
      </c>
      <c r="B68" s="11" t="s">
        <v>28</v>
      </c>
      <c r="C68" s="11">
        <v>11</v>
      </c>
      <c r="D68" s="11" t="s">
        <v>914</v>
      </c>
      <c r="E68" s="11" t="s">
        <v>2017</v>
      </c>
      <c r="F68" s="11" t="s">
        <v>2018</v>
      </c>
      <c r="G68" s="11" t="s">
        <v>2019</v>
      </c>
      <c r="H68" s="11" t="s">
        <v>1400</v>
      </c>
      <c r="I68" s="16">
        <v>0.75</v>
      </c>
      <c r="J68" s="11" t="s">
        <v>308</v>
      </c>
      <c r="K68" s="11" t="s">
        <v>781</v>
      </c>
      <c r="L68" s="11" t="s">
        <v>2020</v>
      </c>
      <c r="M68" s="11" t="s">
        <v>2021</v>
      </c>
      <c r="N68" s="11" t="s">
        <v>2022</v>
      </c>
      <c r="O68" s="11" t="s">
        <v>2023</v>
      </c>
      <c r="P68" s="11" t="s">
        <v>2024</v>
      </c>
      <c r="Q68" s="11" t="s">
        <v>2006</v>
      </c>
      <c r="R68" s="11" t="s">
        <v>2025</v>
      </c>
      <c r="S68" s="11" t="s">
        <v>711</v>
      </c>
      <c r="T68" s="11"/>
      <c r="U68" s="29" t="s">
        <v>2026</v>
      </c>
    </row>
    <row r="69" spans="1:21" ht="110.4" hidden="1">
      <c r="A69" s="11" t="s">
        <v>2027</v>
      </c>
      <c r="B69" s="11" t="s">
        <v>28</v>
      </c>
      <c r="C69" s="11">
        <v>12</v>
      </c>
      <c r="D69" s="11" t="s">
        <v>914</v>
      </c>
      <c r="E69" s="11" t="s">
        <v>2028</v>
      </c>
      <c r="F69" s="11" t="s">
        <v>2029</v>
      </c>
      <c r="G69" s="11" t="s">
        <v>2030</v>
      </c>
      <c r="H69" s="11" t="s">
        <v>1400</v>
      </c>
      <c r="I69" s="16">
        <v>1</v>
      </c>
      <c r="J69" s="11" t="s">
        <v>308</v>
      </c>
      <c r="K69" s="11" t="s">
        <v>1493</v>
      </c>
      <c r="L69" s="11" t="s">
        <v>2031</v>
      </c>
      <c r="M69" s="11" t="s">
        <v>2032</v>
      </c>
      <c r="N69" s="11" t="s">
        <v>2033</v>
      </c>
      <c r="O69" s="11" t="s">
        <v>505</v>
      </c>
      <c r="P69" s="11" t="s">
        <v>1496</v>
      </c>
      <c r="Q69" s="11" t="s">
        <v>2016</v>
      </c>
      <c r="R69" s="11" t="s">
        <v>2034</v>
      </c>
      <c r="S69" s="11" t="s">
        <v>711</v>
      </c>
      <c r="T69" s="11"/>
      <c r="U69" s="29" t="s">
        <v>2035</v>
      </c>
    </row>
    <row r="70" spans="1:21" ht="96.6" hidden="1">
      <c r="A70" s="11" t="s">
        <v>2036</v>
      </c>
      <c r="B70" s="11" t="s">
        <v>28</v>
      </c>
      <c r="C70" s="11">
        <v>13</v>
      </c>
      <c r="D70" s="11" t="s">
        <v>914</v>
      </c>
      <c r="E70" s="11" t="s">
        <v>1500</v>
      </c>
      <c r="F70" s="11" t="s">
        <v>2037</v>
      </c>
      <c r="G70" s="11" t="s">
        <v>2038</v>
      </c>
      <c r="H70" s="11" t="s">
        <v>577</v>
      </c>
      <c r="I70" s="16">
        <v>0.75</v>
      </c>
      <c r="J70" s="11" t="s">
        <v>328</v>
      </c>
      <c r="K70" s="11" t="s">
        <v>2039</v>
      </c>
      <c r="L70" s="11" t="s">
        <v>2040</v>
      </c>
      <c r="M70" s="11" t="s">
        <v>2041</v>
      </c>
      <c r="N70" s="11" t="s">
        <v>2042</v>
      </c>
      <c r="O70" s="11" t="s">
        <v>2043</v>
      </c>
      <c r="P70" s="11" t="s">
        <v>669</v>
      </c>
      <c r="Q70" s="11" t="s">
        <v>2044</v>
      </c>
      <c r="R70" s="11" t="s">
        <v>2045</v>
      </c>
      <c r="S70" s="11" t="s">
        <v>711</v>
      </c>
      <c r="T70" s="11"/>
      <c r="U70" s="29" t="s">
        <v>2046</v>
      </c>
    </row>
    <row r="71" spans="1:21" ht="69" hidden="1">
      <c r="A71" s="11" t="s">
        <v>2047</v>
      </c>
      <c r="B71" s="11" t="s">
        <v>28</v>
      </c>
      <c r="C71" s="11">
        <v>14</v>
      </c>
      <c r="D71" s="11" t="s">
        <v>914</v>
      </c>
      <c r="E71" s="11" t="s">
        <v>1513</v>
      </c>
      <c r="F71" s="11" t="s">
        <v>2048</v>
      </c>
      <c r="G71" s="11" t="s">
        <v>2049</v>
      </c>
      <c r="H71" s="11" t="s">
        <v>1400</v>
      </c>
      <c r="I71" s="16">
        <v>1</v>
      </c>
      <c r="J71" s="11" t="s">
        <v>1516</v>
      </c>
      <c r="K71" s="11" t="s">
        <v>1394</v>
      </c>
      <c r="L71" s="11" t="s">
        <v>2050</v>
      </c>
      <c r="M71" s="11" t="s">
        <v>1518</v>
      </c>
      <c r="N71" s="11" t="s">
        <v>1519</v>
      </c>
      <c r="O71" s="11" t="s">
        <v>2051</v>
      </c>
      <c r="P71" s="11" t="s">
        <v>2052</v>
      </c>
      <c r="Q71" s="11" t="s">
        <v>2036</v>
      </c>
      <c r="R71" s="11" t="s">
        <v>1522</v>
      </c>
      <c r="S71" s="11" t="s">
        <v>711</v>
      </c>
      <c r="T71" s="11" t="s">
        <v>2053</v>
      </c>
      <c r="U71" s="29" t="s">
        <v>2054</v>
      </c>
    </row>
    <row r="72" spans="1:21" ht="110.4" hidden="1">
      <c r="A72" s="11" t="s">
        <v>2055</v>
      </c>
      <c r="B72" s="11" t="s">
        <v>29</v>
      </c>
      <c r="C72" s="11">
        <v>1</v>
      </c>
      <c r="D72" s="11" t="s">
        <v>914</v>
      </c>
      <c r="E72" s="11" t="s">
        <v>2056</v>
      </c>
      <c r="F72" s="11" t="s">
        <v>2057</v>
      </c>
      <c r="G72" s="11" t="s">
        <v>2058</v>
      </c>
      <c r="H72" s="11" t="s">
        <v>1400</v>
      </c>
      <c r="I72" s="16">
        <v>0.75</v>
      </c>
      <c r="J72" s="11" t="s">
        <v>298</v>
      </c>
      <c r="K72" s="11" t="s">
        <v>772</v>
      </c>
      <c r="L72" s="11" t="s">
        <v>2059</v>
      </c>
      <c r="M72" s="11" t="s">
        <v>2060</v>
      </c>
      <c r="N72" s="11" t="s">
        <v>2061</v>
      </c>
      <c r="O72" s="11" t="s">
        <v>2062</v>
      </c>
      <c r="P72" s="11" t="s">
        <v>2063</v>
      </c>
      <c r="Q72" s="11" t="s">
        <v>2047</v>
      </c>
      <c r="R72" s="11" t="s">
        <v>2064</v>
      </c>
      <c r="S72" s="11" t="s">
        <v>711</v>
      </c>
      <c r="T72" s="11"/>
      <c r="U72" s="29" t="s">
        <v>2065</v>
      </c>
    </row>
    <row r="73" spans="1:21" ht="110.4" hidden="1">
      <c r="A73" s="11" t="s">
        <v>2066</v>
      </c>
      <c r="B73" s="11" t="s">
        <v>29</v>
      </c>
      <c r="C73" s="11">
        <v>2</v>
      </c>
      <c r="D73" s="11" t="s">
        <v>914</v>
      </c>
      <c r="E73" s="11" t="s">
        <v>507</v>
      </c>
      <c r="F73" s="11" t="s">
        <v>2067</v>
      </c>
      <c r="G73" s="11" t="s">
        <v>2068</v>
      </c>
      <c r="H73" s="11" t="s">
        <v>1410</v>
      </c>
      <c r="I73" s="16">
        <v>1.5</v>
      </c>
      <c r="J73" s="11" t="s">
        <v>313</v>
      </c>
      <c r="K73" s="11" t="s">
        <v>772</v>
      </c>
      <c r="L73" s="11" t="s">
        <v>2069</v>
      </c>
      <c r="M73" s="11" t="s">
        <v>509</v>
      </c>
      <c r="N73" s="11" t="s">
        <v>2070</v>
      </c>
      <c r="O73" s="11" t="s">
        <v>2071</v>
      </c>
      <c r="P73" s="11" t="s">
        <v>144</v>
      </c>
      <c r="Q73" s="11" t="s">
        <v>2055</v>
      </c>
      <c r="R73" s="11" t="s">
        <v>2072</v>
      </c>
      <c r="S73" s="11" t="s">
        <v>711</v>
      </c>
      <c r="T73" s="11"/>
      <c r="U73" s="29" t="s">
        <v>2073</v>
      </c>
    </row>
    <row r="74" spans="1:21" ht="110.4" hidden="1">
      <c r="A74" s="11" t="s">
        <v>2074</v>
      </c>
      <c r="B74" s="11" t="s">
        <v>29</v>
      </c>
      <c r="C74" s="11">
        <v>3</v>
      </c>
      <c r="D74" s="11" t="s">
        <v>914</v>
      </c>
      <c r="E74" s="11" t="s">
        <v>2075</v>
      </c>
      <c r="F74" s="11" t="s">
        <v>2076</v>
      </c>
      <c r="G74" s="11" t="s">
        <v>2077</v>
      </c>
      <c r="H74" s="11" t="s">
        <v>1410</v>
      </c>
      <c r="I74" s="16">
        <v>1</v>
      </c>
      <c r="J74" s="11" t="s">
        <v>313</v>
      </c>
      <c r="K74" s="11" t="s">
        <v>2078</v>
      </c>
      <c r="L74" s="11" t="s">
        <v>2079</v>
      </c>
      <c r="M74" s="11" t="s">
        <v>2080</v>
      </c>
      <c r="N74" s="11" t="s">
        <v>2081</v>
      </c>
      <c r="O74" s="11" t="s">
        <v>2082</v>
      </c>
      <c r="P74" s="11" t="s">
        <v>106</v>
      </c>
      <c r="Q74" s="11" t="s">
        <v>2083</v>
      </c>
      <c r="R74" s="11" t="s">
        <v>2084</v>
      </c>
      <c r="S74" s="11" t="s">
        <v>711</v>
      </c>
      <c r="T74" s="11"/>
      <c r="U74" s="29" t="s">
        <v>2085</v>
      </c>
    </row>
    <row r="75" spans="1:21" ht="110.4" hidden="1">
      <c r="A75" s="11" t="s">
        <v>2086</v>
      </c>
      <c r="B75" s="11" t="s">
        <v>29</v>
      </c>
      <c r="C75" s="11">
        <v>4</v>
      </c>
      <c r="D75" s="11" t="s">
        <v>914</v>
      </c>
      <c r="E75" s="11" t="s">
        <v>2087</v>
      </c>
      <c r="F75" s="11" t="s">
        <v>2088</v>
      </c>
      <c r="G75" s="11" t="s">
        <v>2089</v>
      </c>
      <c r="H75" s="11" t="s">
        <v>1410</v>
      </c>
      <c r="I75" s="16">
        <v>1</v>
      </c>
      <c r="J75" s="11" t="s">
        <v>313</v>
      </c>
      <c r="K75" s="11" t="s">
        <v>2090</v>
      </c>
      <c r="L75" s="11" t="s">
        <v>2091</v>
      </c>
      <c r="M75" s="11" t="s">
        <v>2092</v>
      </c>
      <c r="N75" s="11" t="s">
        <v>2093</v>
      </c>
      <c r="O75" s="11" t="s">
        <v>2094</v>
      </c>
      <c r="P75" s="11" t="s">
        <v>2095</v>
      </c>
      <c r="Q75" s="11" t="s">
        <v>2074</v>
      </c>
      <c r="R75" s="11" t="s">
        <v>2096</v>
      </c>
      <c r="S75" s="11" t="s">
        <v>711</v>
      </c>
      <c r="T75" s="11"/>
      <c r="U75" s="29" t="s">
        <v>2097</v>
      </c>
    </row>
    <row r="76" spans="1:21" ht="110.4" hidden="1">
      <c r="A76" s="11" t="s">
        <v>2098</v>
      </c>
      <c r="B76" s="11" t="s">
        <v>29</v>
      </c>
      <c r="C76" s="11">
        <v>5</v>
      </c>
      <c r="D76" s="11" t="s">
        <v>914</v>
      </c>
      <c r="E76" s="11" t="s">
        <v>2099</v>
      </c>
      <c r="F76" s="11" t="s">
        <v>2100</v>
      </c>
      <c r="G76" s="11" t="s">
        <v>2101</v>
      </c>
      <c r="H76" s="11" t="s">
        <v>1410</v>
      </c>
      <c r="I76" s="16">
        <v>1</v>
      </c>
      <c r="J76" s="11" t="s">
        <v>313</v>
      </c>
      <c r="K76" s="11" t="s">
        <v>765</v>
      </c>
      <c r="L76" s="11" t="s">
        <v>2102</v>
      </c>
      <c r="M76" s="11" t="s">
        <v>509</v>
      </c>
      <c r="N76" s="11" t="s">
        <v>2103</v>
      </c>
      <c r="O76" s="11" t="s">
        <v>2104</v>
      </c>
      <c r="P76" s="11" t="s">
        <v>144</v>
      </c>
      <c r="Q76" s="11" t="s">
        <v>2066</v>
      </c>
      <c r="R76" s="11" t="s">
        <v>2105</v>
      </c>
      <c r="S76" s="11" t="s">
        <v>711</v>
      </c>
      <c r="T76" s="11"/>
      <c r="U76" s="29" t="s">
        <v>2106</v>
      </c>
    </row>
    <row r="77" spans="1:21" ht="110.4" hidden="1">
      <c r="A77" s="11" t="s">
        <v>2107</v>
      </c>
      <c r="B77" s="11" t="s">
        <v>29</v>
      </c>
      <c r="C77" s="11">
        <v>6</v>
      </c>
      <c r="D77" s="11" t="s">
        <v>914</v>
      </c>
      <c r="E77" s="11" t="s">
        <v>2108</v>
      </c>
      <c r="F77" s="11" t="s">
        <v>2109</v>
      </c>
      <c r="G77" s="11" t="s">
        <v>2110</v>
      </c>
      <c r="H77" s="11" t="s">
        <v>1410</v>
      </c>
      <c r="I77" s="16">
        <v>1.25</v>
      </c>
      <c r="J77" s="11" t="s">
        <v>318</v>
      </c>
      <c r="K77" s="11" t="s">
        <v>761</v>
      </c>
      <c r="L77" s="11" t="s">
        <v>2111</v>
      </c>
      <c r="M77" s="11" t="s">
        <v>1852</v>
      </c>
      <c r="N77" s="11" t="s">
        <v>2112</v>
      </c>
      <c r="O77" s="11" t="s">
        <v>2113</v>
      </c>
      <c r="P77" s="11" t="s">
        <v>167</v>
      </c>
      <c r="Q77" s="11" t="s">
        <v>2114</v>
      </c>
      <c r="R77" s="11" t="s">
        <v>2115</v>
      </c>
      <c r="S77" s="11" t="s">
        <v>711</v>
      </c>
      <c r="T77" s="11"/>
      <c r="U77" s="29" t="s">
        <v>2116</v>
      </c>
    </row>
    <row r="78" spans="1:21" ht="110.4" hidden="1">
      <c r="A78" s="11" t="s">
        <v>2117</v>
      </c>
      <c r="B78" s="11" t="s">
        <v>29</v>
      </c>
      <c r="C78" s="11">
        <v>7</v>
      </c>
      <c r="D78" s="11" t="s">
        <v>914</v>
      </c>
      <c r="E78" s="11" t="s">
        <v>2118</v>
      </c>
      <c r="F78" s="11" t="s">
        <v>2119</v>
      </c>
      <c r="G78" s="11" t="s">
        <v>2120</v>
      </c>
      <c r="H78" s="11" t="s">
        <v>1400</v>
      </c>
      <c r="I78" s="16">
        <v>1</v>
      </c>
      <c r="J78" s="11" t="s">
        <v>318</v>
      </c>
      <c r="K78" s="11" t="s">
        <v>2121</v>
      </c>
      <c r="L78" s="11" t="s">
        <v>2122</v>
      </c>
      <c r="M78" s="11" t="s">
        <v>520</v>
      </c>
      <c r="N78" s="11" t="s">
        <v>2123</v>
      </c>
      <c r="O78" s="11" t="s">
        <v>767</v>
      </c>
      <c r="P78" s="11" t="s">
        <v>676</v>
      </c>
      <c r="Q78" s="11" t="s">
        <v>2107</v>
      </c>
      <c r="R78" s="11" t="s">
        <v>2124</v>
      </c>
      <c r="S78" s="11" t="s">
        <v>711</v>
      </c>
      <c r="T78" s="11"/>
      <c r="U78" s="29" t="s">
        <v>2125</v>
      </c>
    </row>
    <row r="79" spans="1:21" ht="96.6" hidden="1">
      <c r="A79" s="11" t="s">
        <v>2126</v>
      </c>
      <c r="B79" s="11" t="s">
        <v>29</v>
      </c>
      <c r="C79" s="11">
        <v>8</v>
      </c>
      <c r="D79" s="11" t="s">
        <v>914</v>
      </c>
      <c r="E79" s="11" t="s">
        <v>2127</v>
      </c>
      <c r="F79" s="11" t="s">
        <v>2128</v>
      </c>
      <c r="G79" s="11" t="s">
        <v>2129</v>
      </c>
      <c r="H79" s="11" t="s">
        <v>2130</v>
      </c>
      <c r="I79" s="16">
        <v>1</v>
      </c>
      <c r="J79" s="11" t="s">
        <v>318</v>
      </c>
      <c r="K79" s="11" t="s">
        <v>761</v>
      </c>
      <c r="L79" s="11" t="s">
        <v>2131</v>
      </c>
      <c r="M79" s="11" t="s">
        <v>2132</v>
      </c>
      <c r="N79" s="11" t="s">
        <v>2133</v>
      </c>
      <c r="O79" s="11" t="s">
        <v>2134</v>
      </c>
      <c r="P79" s="11" t="s">
        <v>2135</v>
      </c>
      <c r="Q79" s="11" t="s">
        <v>2136</v>
      </c>
      <c r="R79" s="11" t="s">
        <v>2137</v>
      </c>
      <c r="S79" s="11" t="s">
        <v>711</v>
      </c>
      <c r="T79" s="11"/>
      <c r="U79" s="29" t="s">
        <v>2138</v>
      </c>
    </row>
    <row r="80" spans="1:21" ht="110.4">
      <c r="A80" t="s">
        <v>2139</v>
      </c>
      <c r="B80" t="s">
        <v>29</v>
      </c>
      <c r="C80">
        <v>9</v>
      </c>
      <c r="D80" t="s">
        <v>914</v>
      </c>
      <c r="E80" t="s">
        <v>2140</v>
      </c>
      <c r="F80" t="s">
        <v>2141</v>
      </c>
      <c r="G80" t="s">
        <v>2142</v>
      </c>
      <c r="H80" t="s">
        <v>1400</v>
      </c>
      <c r="I80">
        <v>1</v>
      </c>
      <c r="J80" t="s">
        <v>318</v>
      </c>
      <c r="K80" t="s">
        <v>778</v>
      </c>
      <c r="L80" t="s">
        <v>2143</v>
      </c>
      <c r="M80" t="s">
        <v>526</v>
      </c>
      <c r="N80" t="s">
        <v>2144</v>
      </c>
      <c r="O80" t="s">
        <v>2145</v>
      </c>
      <c r="P80" t="s">
        <v>676</v>
      </c>
      <c r="Q80" t="s">
        <v>2146</v>
      </c>
      <c r="R80" t="s">
        <v>2147</v>
      </c>
      <c r="S80" t="s">
        <v>711</v>
      </c>
      <c r="U80" s="29" t="s">
        <v>2148</v>
      </c>
    </row>
    <row r="81" spans="1:21" ht="110.4">
      <c r="A81" t="s">
        <v>2149</v>
      </c>
      <c r="B81" t="s">
        <v>29</v>
      </c>
      <c r="C81">
        <v>10</v>
      </c>
      <c r="D81" t="s">
        <v>914</v>
      </c>
      <c r="E81" t="s">
        <v>2150</v>
      </c>
      <c r="F81" t="s">
        <v>2151</v>
      </c>
      <c r="G81" t="s">
        <v>2152</v>
      </c>
      <c r="H81" t="s">
        <v>1400</v>
      </c>
      <c r="I81">
        <v>1.25</v>
      </c>
      <c r="J81" t="s">
        <v>323</v>
      </c>
      <c r="K81" t="s">
        <v>717</v>
      </c>
      <c r="L81" t="s">
        <v>2153</v>
      </c>
      <c r="M81" t="s">
        <v>531</v>
      </c>
      <c r="N81" t="s">
        <v>2154</v>
      </c>
      <c r="O81" t="s">
        <v>533</v>
      </c>
      <c r="P81" t="s">
        <v>676</v>
      </c>
      <c r="Q81" t="s">
        <v>2155</v>
      </c>
      <c r="R81" t="s">
        <v>2156</v>
      </c>
      <c r="S81" t="s">
        <v>711</v>
      </c>
      <c r="U81" s="29" t="s">
        <v>2157</v>
      </c>
    </row>
    <row r="82" spans="1:21" ht="110.4">
      <c r="A82" t="s">
        <v>2158</v>
      </c>
      <c r="B82" t="s">
        <v>29</v>
      </c>
      <c r="C82">
        <v>11</v>
      </c>
      <c r="D82" t="s">
        <v>914</v>
      </c>
      <c r="E82" t="s">
        <v>2159</v>
      </c>
      <c r="F82" t="s">
        <v>2160</v>
      </c>
      <c r="G82" t="s">
        <v>2161</v>
      </c>
      <c r="H82" t="s">
        <v>577</v>
      </c>
      <c r="I82">
        <v>0.75</v>
      </c>
      <c r="J82" t="s">
        <v>323</v>
      </c>
      <c r="K82" t="s">
        <v>781</v>
      </c>
      <c r="L82" t="s">
        <v>2162</v>
      </c>
      <c r="M82" t="s">
        <v>536</v>
      </c>
      <c r="N82" t="s">
        <v>2163</v>
      </c>
      <c r="O82" t="s">
        <v>538</v>
      </c>
      <c r="P82" t="s">
        <v>642</v>
      </c>
      <c r="Q82" t="s">
        <v>2149</v>
      </c>
      <c r="R82" t="s">
        <v>2164</v>
      </c>
      <c r="S82" t="s">
        <v>711</v>
      </c>
      <c r="U82" s="29" t="s">
        <v>2165</v>
      </c>
    </row>
    <row r="83" spans="1:21" ht="110.4">
      <c r="A83" t="s">
        <v>2166</v>
      </c>
      <c r="B83" t="s">
        <v>29</v>
      </c>
      <c r="C83">
        <v>12</v>
      </c>
      <c r="D83" t="s">
        <v>914</v>
      </c>
      <c r="E83" t="s">
        <v>2167</v>
      </c>
      <c r="F83" t="s">
        <v>2168</v>
      </c>
      <c r="G83" t="s">
        <v>2169</v>
      </c>
      <c r="H83" t="s">
        <v>577</v>
      </c>
      <c r="I83">
        <v>1.25</v>
      </c>
      <c r="J83" t="s">
        <v>308</v>
      </c>
      <c r="K83" t="s">
        <v>1481</v>
      </c>
      <c r="L83" t="s">
        <v>2170</v>
      </c>
      <c r="M83" t="s">
        <v>503</v>
      </c>
      <c r="N83" t="s">
        <v>2171</v>
      </c>
      <c r="O83" t="s">
        <v>542</v>
      </c>
      <c r="P83" t="s">
        <v>2172</v>
      </c>
      <c r="Q83" t="s">
        <v>2158</v>
      </c>
      <c r="R83" t="s">
        <v>2173</v>
      </c>
      <c r="S83" t="s">
        <v>711</v>
      </c>
      <c r="U83" s="29" t="s">
        <v>2174</v>
      </c>
    </row>
    <row r="84" spans="1:21" ht="110.4">
      <c r="A84" t="s">
        <v>2175</v>
      </c>
      <c r="B84" t="s">
        <v>29</v>
      </c>
      <c r="C84">
        <v>13</v>
      </c>
      <c r="D84" t="s">
        <v>914</v>
      </c>
      <c r="E84" t="s">
        <v>2176</v>
      </c>
      <c r="F84" t="s">
        <v>2177</v>
      </c>
      <c r="G84" t="s">
        <v>2178</v>
      </c>
      <c r="H84" t="s">
        <v>577</v>
      </c>
      <c r="I84">
        <v>1</v>
      </c>
      <c r="J84" t="s">
        <v>323</v>
      </c>
      <c r="K84" t="s">
        <v>1394</v>
      </c>
      <c r="L84" t="s">
        <v>2179</v>
      </c>
      <c r="M84" t="s">
        <v>2180</v>
      </c>
      <c r="N84" t="s">
        <v>2181</v>
      </c>
      <c r="O84" t="s">
        <v>2182</v>
      </c>
      <c r="P84" t="s">
        <v>669</v>
      </c>
      <c r="Q84" t="s">
        <v>2183</v>
      </c>
      <c r="R84" t="s">
        <v>2184</v>
      </c>
      <c r="S84" t="s">
        <v>711</v>
      </c>
      <c r="U84" s="29" t="s">
        <v>2185</v>
      </c>
    </row>
    <row r="85" spans="1:21" ht="69">
      <c r="A85" t="s">
        <v>2186</v>
      </c>
      <c r="B85" t="s">
        <v>29</v>
      </c>
      <c r="C85">
        <v>14</v>
      </c>
      <c r="D85" t="s">
        <v>914</v>
      </c>
      <c r="E85" t="s">
        <v>1513</v>
      </c>
      <c r="F85" t="s">
        <v>2187</v>
      </c>
      <c r="G85" t="s">
        <v>2188</v>
      </c>
      <c r="H85" t="s">
        <v>1400</v>
      </c>
      <c r="I85">
        <v>1.5</v>
      </c>
      <c r="J85" t="s">
        <v>1516</v>
      </c>
      <c r="K85" t="s">
        <v>1394</v>
      </c>
      <c r="L85" t="s">
        <v>2189</v>
      </c>
      <c r="M85" t="s">
        <v>1518</v>
      </c>
      <c r="N85" t="s">
        <v>2190</v>
      </c>
      <c r="O85" t="s">
        <v>2191</v>
      </c>
      <c r="P85" t="s">
        <v>2192</v>
      </c>
      <c r="Q85" t="s">
        <v>2175</v>
      </c>
      <c r="R85" t="s">
        <v>1522</v>
      </c>
      <c r="S85" t="s">
        <v>711</v>
      </c>
      <c r="T85" t="s">
        <v>2193</v>
      </c>
      <c r="U85" s="29" t="s">
        <v>2194</v>
      </c>
    </row>
  </sheetData>
  <mergeCells count="2">
    <mergeCell ref="A1:T1"/>
    <mergeCell ref="A2:T2"/>
  </mergeCells>
  <conditionalFormatting sqref="S6:S79">
    <cfRule type="containsText" dxfId="62" priority="1" operator="containsText" text="Done"/>
    <cfRule type="containsText" dxfId="61" priority="2" operator="containsText" text="Blocked"/>
    <cfRule type="containsText" dxfId="60" priority="3" operator="containsText" text="In Progress"/>
    <cfRule type="containsText" dxfId="59"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34</v>
      </c>
      <c r="B1" s="51"/>
      <c r="C1" s="51"/>
      <c r="D1" s="51"/>
      <c r="E1" s="51"/>
      <c r="F1" s="51"/>
      <c r="G1" s="51"/>
      <c r="H1" s="51"/>
      <c r="I1" s="51"/>
      <c r="J1" s="51"/>
      <c r="K1" s="51"/>
      <c r="L1" s="51"/>
      <c r="M1" s="51"/>
      <c r="N1" s="51"/>
      <c r="O1" s="51"/>
    </row>
    <row r="2" spans="1:16" ht="31.95" customHeight="1">
      <c r="A2" s="52" t="s">
        <v>35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0.52173913043478259</v>
      </c>
      <c r="B5" s="92"/>
      <c r="D5" s="95">
        <f>COUNTIF(O10:O40,"Blocked")</f>
        <v>0</v>
      </c>
      <c r="E5" s="96"/>
      <c r="G5" s="99" t="s">
        <v>37</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205</v>
      </c>
      <c r="B10" s="10">
        <v>1</v>
      </c>
      <c r="C10" s="10" t="s">
        <v>914</v>
      </c>
      <c r="D10" s="10" t="s">
        <v>351</v>
      </c>
      <c r="E10" s="10" t="s">
        <v>1388</v>
      </c>
      <c r="F10" s="10" t="s">
        <v>1389</v>
      </c>
      <c r="G10" s="10" t="s">
        <v>577</v>
      </c>
      <c r="H10" s="15">
        <v>1</v>
      </c>
      <c r="I10" s="10" t="s">
        <v>201</v>
      </c>
      <c r="J10" s="10" t="s">
        <v>1390</v>
      </c>
      <c r="K10" s="10" t="s">
        <v>1391</v>
      </c>
      <c r="L10" s="10" t="s">
        <v>1392</v>
      </c>
      <c r="M10" s="10" t="s">
        <v>548</v>
      </c>
      <c r="N10" s="10" t="s">
        <v>1395</v>
      </c>
      <c r="O10" s="10" t="s">
        <v>15</v>
      </c>
      <c r="P10" s="29" t="s">
        <v>1397</v>
      </c>
    </row>
    <row r="11" spans="1:16" ht="96.6">
      <c r="A11" s="11" t="s">
        <v>210</v>
      </c>
      <c r="B11" s="11">
        <v>2</v>
      </c>
      <c r="C11" s="11" t="s">
        <v>914</v>
      </c>
      <c r="D11" s="11" t="s">
        <v>552</v>
      </c>
      <c r="E11" s="11" t="s">
        <v>1398</v>
      </c>
      <c r="F11" s="11" t="s">
        <v>1399</v>
      </c>
      <c r="G11" s="11" t="s">
        <v>1400</v>
      </c>
      <c r="H11" s="16">
        <v>0.5</v>
      </c>
      <c r="I11" s="11" t="s">
        <v>206</v>
      </c>
      <c r="J11" s="11" t="s">
        <v>1394</v>
      </c>
      <c r="K11" s="11" t="s">
        <v>1401</v>
      </c>
      <c r="L11" s="11" t="s">
        <v>554</v>
      </c>
      <c r="M11" s="11" t="s">
        <v>556</v>
      </c>
      <c r="N11" s="11" t="s">
        <v>1403</v>
      </c>
      <c r="O11" s="11" t="s">
        <v>15</v>
      </c>
      <c r="P11" s="29" t="s">
        <v>1405</v>
      </c>
    </row>
    <row r="12" spans="1:16" ht="110.4">
      <c r="A12" s="11" t="s">
        <v>1406</v>
      </c>
      <c r="B12" s="11">
        <v>3</v>
      </c>
      <c r="C12" s="11" t="s">
        <v>914</v>
      </c>
      <c r="D12" s="11" t="s">
        <v>1407</v>
      </c>
      <c r="E12" s="11" t="s">
        <v>1408</v>
      </c>
      <c r="F12" s="11" t="s">
        <v>1409</v>
      </c>
      <c r="G12" s="11" t="s">
        <v>1410</v>
      </c>
      <c r="H12" s="16">
        <v>1.5</v>
      </c>
      <c r="I12" s="11" t="s">
        <v>211</v>
      </c>
      <c r="J12" s="11" t="s">
        <v>732</v>
      </c>
      <c r="K12" s="11" t="s">
        <v>1411</v>
      </c>
      <c r="L12" s="11" t="s">
        <v>1412</v>
      </c>
      <c r="M12" s="11" t="s">
        <v>1414</v>
      </c>
      <c r="N12" s="11" t="s">
        <v>1415</v>
      </c>
      <c r="O12" s="11" t="s">
        <v>15</v>
      </c>
      <c r="P12" s="29" t="s">
        <v>1417</v>
      </c>
    </row>
    <row r="13" spans="1:16" ht="110.4">
      <c r="A13" s="11" t="s">
        <v>1418</v>
      </c>
      <c r="B13" s="11">
        <v>4</v>
      </c>
      <c r="C13" s="11" t="s">
        <v>914</v>
      </c>
      <c r="D13" s="11" t="s">
        <v>1419</v>
      </c>
      <c r="E13" s="11" t="s">
        <v>1420</v>
      </c>
      <c r="F13" s="11" t="s">
        <v>1421</v>
      </c>
      <c r="G13" s="11" t="s">
        <v>1410</v>
      </c>
      <c r="H13" s="16">
        <v>1</v>
      </c>
      <c r="I13" s="11" t="s">
        <v>211</v>
      </c>
      <c r="J13" s="11" t="s">
        <v>1422</v>
      </c>
      <c r="K13" s="11" t="s">
        <v>1423</v>
      </c>
      <c r="L13" s="11" t="s">
        <v>372</v>
      </c>
      <c r="M13" s="11" t="s">
        <v>374</v>
      </c>
      <c r="N13" s="11" t="s">
        <v>1425</v>
      </c>
      <c r="O13" s="11" t="s">
        <v>15</v>
      </c>
      <c r="P13" s="29" t="s">
        <v>1426</v>
      </c>
    </row>
    <row r="14" spans="1:16" ht="124.2">
      <c r="A14" s="11" t="s">
        <v>220</v>
      </c>
      <c r="B14" s="11">
        <v>5</v>
      </c>
      <c r="C14" s="11" t="s">
        <v>914</v>
      </c>
      <c r="D14" s="11" t="s">
        <v>1427</v>
      </c>
      <c r="E14" s="11" t="s">
        <v>1428</v>
      </c>
      <c r="F14" s="11" t="s">
        <v>1429</v>
      </c>
      <c r="G14" s="11" t="s">
        <v>1410</v>
      </c>
      <c r="H14" s="16">
        <v>1.5</v>
      </c>
      <c r="I14" s="11" t="s">
        <v>216</v>
      </c>
      <c r="J14" s="11" t="s">
        <v>1430</v>
      </c>
      <c r="K14" s="11" t="s">
        <v>1431</v>
      </c>
      <c r="L14" s="11" t="s">
        <v>1432</v>
      </c>
      <c r="M14" s="11" t="s">
        <v>365</v>
      </c>
      <c r="N14" s="11" t="s">
        <v>1434</v>
      </c>
      <c r="O14" s="11" t="s">
        <v>15</v>
      </c>
      <c r="P14" s="29" t="s">
        <v>1435</v>
      </c>
    </row>
    <row r="15" spans="1:16" ht="110.4">
      <c r="A15" s="11" t="s">
        <v>1436</v>
      </c>
      <c r="B15" s="11">
        <v>6</v>
      </c>
      <c r="C15" s="11" t="s">
        <v>914</v>
      </c>
      <c r="D15" s="11" t="s">
        <v>1437</v>
      </c>
      <c r="E15" s="11" t="s">
        <v>1438</v>
      </c>
      <c r="F15" s="11" t="s">
        <v>1439</v>
      </c>
      <c r="G15" s="11" t="s">
        <v>1410</v>
      </c>
      <c r="H15" s="16">
        <v>1.25</v>
      </c>
      <c r="I15" s="11" t="s">
        <v>221</v>
      </c>
      <c r="J15" s="11" t="s">
        <v>1394</v>
      </c>
      <c r="K15" s="11" t="s">
        <v>1440</v>
      </c>
      <c r="L15" s="11" t="s">
        <v>1441</v>
      </c>
      <c r="M15" s="11" t="s">
        <v>1443</v>
      </c>
      <c r="N15" s="11" t="s">
        <v>1445</v>
      </c>
      <c r="O15" s="11" t="s">
        <v>15</v>
      </c>
      <c r="P15" s="29" t="s">
        <v>1446</v>
      </c>
    </row>
    <row r="16" spans="1:16" ht="124.2">
      <c r="A16" s="11" t="s">
        <v>1447</v>
      </c>
      <c r="B16" s="11">
        <v>7</v>
      </c>
      <c r="C16" s="11" t="s">
        <v>914</v>
      </c>
      <c r="D16" s="11" t="s">
        <v>1448</v>
      </c>
      <c r="E16" s="11" t="s">
        <v>1449</v>
      </c>
      <c r="F16" s="11" t="s">
        <v>1450</v>
      </c>
      <c r="G16" s="11" t="s">
        <v>1410</v>
      </c>
      <c r="H16" s="16">
        <v>1</v>
      </c>
      <c r="I16" s="11" t="s">
        <v>211</v>
      </c>
      <c r="J16" s="11" t="s">
        <v>1394</v>
      </c>
      <c r="K16" s="11" t="s">
        <v>1451</v>
      </c>
      <c r="L16" s="11" t="s">
        <v>1452</v>
      </c>
      <c r="M16" s="11" t="s">
        <v>1454</v>
      </c>
      <c r="N16" s="11" t="s">
        <v>1456</v>
      </c>
      <c r="O16" s="11" t="s">
        <v>15</v>
      </c>
      <c r="P16" s="29" t="s">
        <v>1457</v>
      </c>
    </row>
    <row r="17" spans="1:16" ht="110.4">
      <c r="A17" s="11" t="s">
        <v>1458</v>
      </c>
      <c r="B17" s="11">
        <v>8</v>
      </c>
      <c r="C17" s="11" t="s">
        <v>914</v>
      </c>
      <c r="D17" s="11" t="s">
        <v>752</v>
      </c>
      <c r="E17" s="11" t="s">
        <v>1459</v>
      </c>
      <c r="F17" s="11" t="s">
        <v>1460</v>
      </c>
      <c r="G17" s="11" t="s">
        <v>1410</v>
      </c>
      <c r="H17" s="16">
        <v>1</v>
      </c>
      <c r="I17" s="11" t="s">
        <v>221</v>
      </c>
      <c r="J17" s="11" t="s">
        <v>751</v>
      </c>
      <c r="K17" s="11" t="s">
        <v>1461</v>
      </c>
      <c r="L17" s="11" t="s">
        <v>379</v>
      </c>
      <c r="M17" s="11" t="s">
        <v>381</v>
      </c>
      <c r="N17" s="11" t="s">
        <v>1463</v>
      </c>
      <c r="O17" s="11" t="s">
        <v>15</v>
      </c>
      <c r="P17" s="29" t="s">
        <v>1464</v>
      </c>
    </row>
    <row r="18" spans="1:16" ht="124.2">
      <c r="A18" s="11" t="s">
        <v>1465</v>
      </c>
      <c r="B18" s="11">
        <v>9</v>
      </c>
      <c r="C18" s="11" t="s">
        <v>914</v>
      </c>
      <c r="D18" s="11" t="s">
        <v>1466</v>
      </c>
      <c r="E18" s="11" t="s">
        <v>1467</v>
      </c>
      <c r="F18" s="11" t="s">
        <v>1468</v>
      </c>
      <c r="G18" s="11" t="s">
        <v>1410</v>
      </c>
      <c r="H18" s="16">
        <v>1.25</v>
      </c>
      <c r="I18" s="11" t="s">
        <v>226</v>
      </c>
      <c r="J18" s="11" t="s">
        <v>1469</v>
      </c>
      <c r="K18" s="11" t="s">
        <v>1470</v>
      </c>
      <c r="L18" s="11" t="s">
        <v>1471</v>
      </c>
      <c r="M18" s="11" t="s">
        <v>1473</v>
      </c>
      <c r="N18" s="11" t="s">
        <v>1474</v>
      </c>
      <c r="O18" s="11" t="s">
        <v>15</v>
      </c>
      <c r="P18" s="29" t="s">
        <v>1476</v>
      </c>
    </row>
    <row r="19" spans="1:16" ht="110.4">
      <c r="A19" s="11" t="s">
        <v>1477</v>
      </c>
      <c r="B19" s="11">
        <v>10</v>
      </c>
      <c r="C19" s="11" t="s">
        <v>914</v>
      </c>
      <c r="D19" s="11" t="s">
        <v>1478</v>
      </c>
      <c r="E19" s="11" t="s">
        <v>1479</v>
      </c>
      <c r="F19" s="11" t="s">
        <v>1480</v>
      </c>
      <c r="G19" s="11" t="s">
        <v>1410</v>
      </c>
      <c r="H19" s="16">
        <v>1.5</v>
      </c>
      <c r="I19" s="11" t="s">
        <v>226</v>
      </c>
      <c r="J19" s="11" t="s">
        <v>1481</v>
      </c>
      <c r="K19" s="11" t="s">
        <v>1482</v>
      </c>
      <c r="L19" s="11" t="s">
        <v>1483</v>
      </c>
      <c r="M19" s="11" t="s">
        <v>1485</v>
      </c>
      <c r="N19" s="11" t="s">
        <v>1487</v>
      </c>
      <c r="O19" s="11" t="s">
        <v>15</v>
      </c>
      <c r="P19" s="29" t="s">
        <v>1488</v>
      </c>
    </row>
    <row r="20" spans="1:16" ht="110.4">
      <c r="A20" s="11" t="s">
        <v>1489</v>
      </c>
      <c r="B20" s="11">
        <v>11</v>
      </c>
      <c r="C20" s="11" t="s">
        <v>914</v>
      </c>
      <c r="D20" s="11" t="s">
        <v>1490</v>
      </c>
      <c r="E20" s="11" t="s">
        <v>1491</v>
      </c>
      <c r="F20" s="11" t="s">
        <v>1492</v>
      </c>
      <c r="G20" s="11" t="s">
        <v>1410</v>
      </c>
      <c r="H20" s="16">
        <v>1</v>
      </c>
      <c r="I20" s="11" t="s">
        <v>226</v>
      </c>
      <c r="J20" s="11" t="s">
        <v>1493</v>
      </c>
      <c r="K20" s="11" t="s">
        <v>1494</v>
      </c>
      <c r="L20" s="11" t="s">
        <v>387</v>
      </c>
      <c r="M20" s="11" t="s">
        <v>389</v>
      </c>
      <c r="N20" s="11" t="s">
        <v>1497</v>
      </c>
      <c r="O20" s="11" t="s">
        <v>15</v>
      </c>
      <c r="P20" s="29" t="s">
        <v>1498</v>
      </c>
    </row>
    <row r="21" spans="1:16" ht="96.6">
      <c r="A21" s="11" t="s">
        <v>1499</v>
      </c>
      <c r="B21" s="11">
        <v>12</v>
      </c>
      <c r="C21" s="11" t="s">
        <v>914</v>
      </c>
      <c r="D21" s="11" t="s">
        <v>1500</v>
      </c>
      <c r="E21" s="11" t="s">
        <v>1501</v>
      </c>
      <c r="F21" s="11" t="s">
        <v>1502</v>
      </c>
      <c r="G21" s="11" t="s">
        <v>577</v>
      </c>
      <c r="H21" s="16">
        <v>1</v>
      </c>
      <c r="I21" s="11" t="s">
        <v>328</v>
      </c>
      <c r="J21" s="11" t="s">
        <v>1503</v>
      </c>
      <c r="K21" s="11" t="s">
        <v>1504</v>
      </c>
      <c r="L21" s="11" t="s">
        <v>1505</v>
      </c>
      <c r="M21" s="11" t="s">
        <v>1507</v>
      </c>
      <c r="N21" s="11" t="s">
        <v>1509</v>
      </c>
      <c r="O21" s="11" t="s">
        <v>15</v>
      </c>
      <c r="P21" s="29" t="s">
        <v>1511</v>
      </c>
    </row>
    <row r="22" spans="1:16" ht="82.8">
      <c r="A22" t="s">
        <v>1512</v>
      </c>
      <c r="B22">
        <v>13</v>
      </c>
      <c r="C22" t="s">
        <v>914</v>
      </c>
      <c r="D22" t="s">
        <v>1513</v>
      </c>
      <c r="E22" t="s">
        <v>1514</v>
      </c>
      <c r="F22" t="s">
        <v>1515</v>
      </c>
      <c r="G22" t="s">
        <v>1400</v>
      </c>
      <c r="H22">
        <v>1</v>
      </c>
      <c r="I22" t="s">
        <v>1516</v>
      </c>
      <c r="J22" t="s">
        <v>1394</v>
      </c>
      <c r="K22" t="s">
        <v>1517</v>
      </c>
      <c r="L22" t="s">
        <v>1518</v>
      </c>
      <c r="M22" t="s">
        <v>1520</v>
      </c>
      <c r="N22" t="s">
        <v>1522</v>
      </c>
      <c r="O22" t="s">
        <v>711</v>
      </c>
      <c r="P22" s="29" t="s">
        <v>1524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201</v>
      </c>
      <c r="C26" s="22" t="s">
        <v>202</v>
      </c>
      <c r="D26" s="22" t="s">
        <v>203</v>
      </c>
      <c r="E26" s="22" t="s">
        <v>204</v>
      </c>
      <c r="F26" s="22" t="s">
        <v>2204</v>
      </c>
      <c r="G26" s="22" t="s">
        <v>2205</v>
      </c>
    </row>
    <row r="27" spans="1:16" ht="52.05" customHeight="1">
      <c r="A27" s="34">
        <v>2</v>
      </c>
      <c r="B27" s="34" t="s">
        <v>206</v>
      </c>
      <c r="C27" s="34" t="s">
        <v>207</v>
      </c>
      <c r="D27" s="34" t="s">
        <v>208</v>
      </c>
      <c r="E27" s="34" t="s">
        <v>209</v>
      </c>
      <c r="F27" s="34" t="s">
        <v>2206</v>
      </c>
      <c r="G27" s="34" t="s">
        <v>2205</v>
      </c>
    </row>
    <row r="28" spans="1:16" ht="52.05" customHeight="1">
      <c r="A28" s="22">
        <v>3</v>
      </c>
      <c r="B28" s="22" t="s">
        <v>211</v>
      </c>
      <c r="C28" s="22" t="s">
        <v>212</v>
      </c>
      <c r="D28" s="22" t="s">
        <v>213</v>
      </c>
      <c r="E28" s="22" t="s">
        <v>214</v>
      </c>
      <c r="F28" s="22" t="s">
        <v>2207</v>
      </c>
      <c r="G28" s="22" t="s">
        <v>2208</v>
      </c>
    </row>
    <row r="29" spans="1:16" ht="52.05" customHeight="1">
      <c r="A29" s="34">
        <v>4</v>
      </c>
      <c r="B29" s="34" t="s">
        <v>216</v>
      </c>
      <c r="C29" s="34" t="s">
        <v>217</v>
      </c>
      <c r="D29" s="34" t="s">
        <v>218</v>
      </c>
      <c r="E29" s="34" t="s">
        <v>219</v>
      </c>
      <c r="F29" s="34" t="s">
        <v>2209</v>
      </c>
      <c r="G29" s="34" t="s">
        <v>2208</v>
      </c>
    </row>
    <row r="30" spans="1:16" ht="52.05" customHeight="1">
      <c r="A30" s="22">
        <v>5</v>
      </c>
      <c r="B30" s="22" t="s">
        <v>221</v>
      </c>
      <c r="C30" s="22" t="s">
        <v>222</v>
      </c>
      <c r="D30" s="22" t="s">
        <v>223</v>
      </c>
      <c r="E30" s="22" t="s">
        <v>224</v>
      </c>
      <c r="F30" s="22" t="s">
        <v>2210</v>
      </c>
      <c r="G30" s="22" t="s">
        <v>2208</v>
      </c>
    </row>
    <row r="31" spans="1:16" ht="52.05" customHeight="1">
      <c r="A31" s="34">
        <v>6</v>
      </c>
      <c r="B31" s="34" t="s">
        <v>226</v>
      </c>
      <c r="C31" s="34" t="s">
        <v>227</v>
      </c>
      <c r="D31" s="34" t="s">
        <v>228</v>
      </c>
      <c r="E31" s="34" t="s">
        <v>229</v>
      </c>
      <c r="F31" s="34" t="s">
        <v>2211</v>
      </c>
      <c r="G31" s="34" t="s">
        <v>2208</v>
      </c>
    </row>
    <row r="32" spans="1:16" ht="52.05" customHeight="1">
      <c r="A32" s="35">
        <v>7</v>
      </c>
      <c r="B32" s="35" t="s">
        <v>328</v>
      </c>
      <c r="C32" s="35" t="s">
        <v>330</v>
      </c>
      <c r="D32" s="35" t="s">
        <v>2212</v>
      </c>
      <c r="E32" s="35" t="s">
        <v>332</v>
      </c>
      <c r="F32" s="35" t="s">
        <v>2213</v>
      </c>
      <c r="G32" s="35" t="s">
        <v>2205</v>
      </c>
    </row>
    <row r="33" spans="1:7" ht="52.05" customHeight="1">
      <c r="A33" s="35">
        <v>8</v>
      </c>
      <c r="B33" s="35" t="s">
        <v>1516</v>
      </c>
      <c r="C33" s="35" t="s">
        <v>2214</v>
      </c>
      <c r="D33" s="35" t="s">
        <v>2215</v>
      </c>
      <c r="E33" s="35" t="s">
        <v>2216</v>
      </c>
      <c r="F33" s="35" t="s">
        <v>2217</v>
      </c>
      <c r="G33"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8" priority="1" operator="containsText" text="Done"/>
    <cfRule type="containsText" dxfId="57" priority="2" operator="containsText" text="Blocked"/>
    <cfRule type="containsText" dxfId="56" priority="3" operator="containsText" text="In Progress"/>
    <cfRule type="containsText" dxfId="55" priority="4" operator="containsText" text="Ready for Review"/>
  </conditionalFormatting>
  <dataValidations count="1">
    <dataValidation type="list" sqref="O10:O21"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38</v>
      </c>
      <c r="B1" s="51"/>
      <c r="C1" s="51"/>
      <c r="D1" s="51"/>
      <c r="E1" s="51"/>
      <c r="F1" s="51"/>
      <c r="G1" s="51"/>
      <c r="H1" s="51"/>
      <c r="I1" s="51"/>
      <c r="J1" s="51"/>
      <c r="K1" s="51"/>
      <c r="L1" s="51"/>
      <c r="M1" s="51"/>
      <c r="N1" s="51"/>
      <c r="O1" s="51"/>
    </row>
    <row r="2" spans="1:16" ht="31.95" customHeight="1">
      <c r="A2" s="52" t="s">
        <v>39</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40</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hidden="1">
      <c r="A10" s="10" t="s">
        <v>1525</v>
      </c>
      <c r="B10" s="10">
        <v>1</v>
      </c>
      <c r="C10" s="10" t="s">
        <v>914</v>
      </c>
      <c r="D10" s="10" t="s">
        <v>1526</v>
      </c>
      <c r="E10" s="10" t="s">
        <v>1527</v>
      </c>
      <c r="F10" s="10" t="s">
        <v>1528</v>
      </c>
      <c r="G10" s="10" t="s">
        <v>1410</v>
      </c>
      <c r="H10" s="15">
        <v>1</v>
      </c>
      <c r="I10" s="10" t="s">
        <v>231</v>
      </c>
      <c r="J10" s="10" t="s">
        <v>1529</v>
      </c>
      <c r="K10" s="10" t="s">
        <v>1530</v>
      </c>
      <c r="L10" s="10" t="s">
        <v>394</v>
      </c>
      <c r="M10" s="10" t="s">
        <v>1532</v>
      </c>
      <c r="N10" s="10" t="s">
        <v>1533</v>
      </c>
      <c r="O10" s="10" t="s">
        <v>711</v>
      </c>
      <c r="P10" s="29" t="s">
        <v>1534</v>
      </c>
    </row>
    <row r="11" spans="1:16" ht="124.2" hidden="1">
      <c r="A11" s="11" t="s">
        <v>1535</v>
      </c>
      <c r="B11" s="11">
        <v>2</v>
      </c>
      <c r="C11" s="11" t="s">
        <v>914</v>
      </c>
      <c r="D11" s="11" t="s">
        <v>1536</v>
      </c>
      <c r="E11" s="11" t="s">
        <v>1537</v>
      </c>
      <c r="F11" s="11" t="s">
        <v>1538</v>
      </c>
      <c r="G11" s="11" t="s">
        <v>1410</v>
      </c>
      <c r="H11" s="16">
        <v>1.25</v>
      </c>
      <c r="I11" s="11" t="s">
        <v>231</v>
      </c>
      <c r="J11" s="11" t="s">
        <v>1394</v>
      </c>
      <c r="K11" s="11" t="s">
        <v>1539</v>
      </c>
      <c r="L11" s="11" t="s">
        <v>1540</v>
      </c>
      <c r="M11" s="11" t="s">
        <v>1542</v>
      </c>
      <c r="N11" s="11" t="s">
        <v>1543</v>
      </c>
      <c r="O11" s="11" t="s">
        <v>711</v>
      </c>
      <c r="P11" s="29" t="s">
        <v>1544</v>
      </c>
    </row>
    <row r="12" spans="1:16" ht="110.4" hidden="1">
      <c r="A12" s="11" t="s">
        <v>1545</v>
      </c>
      <c r="B12" s="11">
        <v>3</v>
      </c>
      <c r="C12" s="11" t="s">
        <v>914</v>
      </c>
      <c r="D12" s="11" t="s">
        <v>1546</v>
      </c>
      <c r="E12" s="11" t="s">
        <v>1547</v>
      </c>
      <c r="F12" s="11" t="s">
        <v>1548</v>
      </c>
      <c r="G12" s="11" t="s">
        <v>1410</v>
      </c>
      <c r="H12" s="16">
        <v>1</v>
      </c>
      <c r="I12" s="11" t="s">
        <v>231</v>
      </c>
      <c r="J12" s="11" t="s">
        <v>1394</v>
      </c>
      <c r="K12" s="11" t="s">
        <v>1549</v>
      </c>
      <c r="L12" s="11" t="s">
        <v>1550</v>
      </c>
      <c r="M12" s="11" t="s">
        <v>1552</v>
      </c>
      <c r="N12" s="11" t="s">
        <v>1553</v>
      </c>
      <c r="O12" s="11" t="s">
        <v>711</v>
      </c>
      <c r="P12" s="29" t="s">
        <v>1554</v>
      </c>
    </row>
    <row r="13" spans="1:16" ht="110.4" hidden="1">
      <c r="A13" s="11" t="s">
        <v>1555</v>
      </c>
      <c r="B13" s="11">
        <v>4</v>
      </c>
      <c r="C13" s="11" t="s">
        <v>914</v>
      </c>
      <c r="D13" s="11" t="s">
        <v>1556</v>
      </c>
      <c r="E13" s="11" t="s">
        <v>1557</v>
      </c>
      <c r="F13" s="11" t="s">
        <v>1558</v>
      </c>
      <c r="G13" s="11" t="s">
        <v>1410</v>
      </c>
      <c r="H13" s="16">
        <v>1.5</v>
      </c>
      <c r="I13" s="11" t="s">
        <v>231</v>
      </c>
      <c r="J13" s="11" t="s">
        <v>1559</v>
      </c>
      <c r="K13" s="11" t="s">
        <v>1560</v>
      </c>
      <c r="L13" s="11" t="s">
        <v>1561</v>
      </c>
      <c r="M13" s="11" t="s">
        <v>1563</v>
      </c>
      <c r="N13" s="11" t="s">
        <v>1565</v>
      </c>
      <c r="O13" s="11" t="s">
        <v>711</v>
      </c>
      <c r="P13" s="29" t="s">
        <v>1566</v>
      </c>
    </row>
    <row r="14" spans="1:16" ht="124.2" hidden="1">
      <c r="A14" s="11" t="s">
        <v>236</v>
      </c>
      <c r="B14" s="11">
        <v>5</v>
      </c>
      <c r="C14" s="11" t="s">
        <v>914</v>
      </c>
      <c r="D14" s="11" t="s">
        <v>1013</v>
      </c>
      <c r="E14" s="11" t="s">
        <v>1567</v>
      </c>
      <c r="F14" s="11" t="s">
        <v>1568</v>
      </c>
      <c r="G14" s="11" t="s">
        <v>1410</v>
      </c>
      <c r="H14" s="16">
        <v>1.25</v>
      </c>
      <c r="I14" s="11" t="s">
        <v>232</v>
      </c>
      <c r="J14" s="11" t="s">
        <v>746</v>
      </c>
      <c r="K14" s="11" t="s">
        <v>1569</v>
      </c>
      <c r="L14" s="11" t="s">
        <v>406</v>
      </c>
      <c r="M14" s="11" t="s">
        <v>1571</v>
      </c>
      <c r="N14" s="11" t="s">
        <v>1572</v>
      </c>
      <c r="O14" s="11" t="s">
        <v>711</v>
      </c>
      <c r="P14" s="29" t="s">
        <v>1573</v>
      </c>
    </row>
    <row r="15" spans="1:16" ht="124.2" hidden="1">
      <c r="A15" s="11" t="s">
        <v>1574</v>
      </c>
      <c r="B15" s="11">
        <v>6</v>
      </c>
      <c r="C15" s="11" t="s">
        <v>914</v>
      </c>
      <c r="D15" s="11" t="s">
        <v>1232</v>
      </c>
      <c r="E15" s="11" t="s">
        <v>1575</v>
      </c>
      <c r="F15" s="11" t="s">
        <v>1576</v>
      </c>
      <c r="G15" s="11" t="s">
        <v>1410</v>
      </c>
      <c r="H15" s="16">
        <v>1.5</v>
      </c>
      <c r="I15" s="11" t="s">
        <v>237</v>
      </c>
      <c r="J15" s="11" t="s">
        <v>1577</v>
      </c>
      <c r="K15" s="11" t="s">
        <v>1578</v>
      </c>
      <c r="L15" s="11" t="s">
        <v>1579</v>
      </c>
      <c r="M15" s="11" t="s">
        <v>1581</v>
      </c>
      <c r="N15" s="11" t="s">
        <v>1583</v>
      </c>
      <c r="O15" s="11" t="s">
        <v>711</v>
      </c>
      <c r="P15" s="29" t="s">
        <v>1584</v>
      </c>
    </row>
    <row r="16" spans="1:16" ht="110.4" hidden="1">
      <c r="A16" s="11" t="s">
        <v>1585</v>
      </c>
      <c r="B16" s="11">
        <v>7</v>
      </c>
      <c r="C16" s="11" t="s">
        <v>914</v>
      </c>
      <c r="D16" s="11" t="s">
        <v>714</v>
      </c>
      <c r="E16" s="11" t="s">
        <v>1586</v>
      </c>
      <c r="F16" s="11" t="s">
        <v>1587</v>
      </c>
      <c r="G16" s="11" t="s">
        <v>1410</v>
      </c>
      <c r="H16" s="16">
        <v>1</v>
      </c>
      <c r="I16" s="11" t="s">
        <v>237</v>
      </c>
      <c r="J16" s="11" t="s">
        <v>713</v>
      </c>
      <c r="K16" s="11" t="s">
        <v>1588</v>
      </c>
      <c r="L16" s="11" t="s">
        <v>1589</v>
      </c>
      <c r="M16" s="11" t="s">
        <v>1591</v>
      </c>
      <c r="N16" s="11" t="s">
        <v>1592</v>
      </c>
      <c r="O16" s="11" t="s">
        <v>711</v>
      </c>
      <c r="P16" s="29" t="s">
        <v>1593</v>
      </c>
    </row>
    <row r="17" spans="1:16" ht="110.4" hidden="1">
      <c r="A17" s="11" t="s">
        <v>1594</v>
      </c>
      <c r="B17" s="11">
        <v>8</v>
      </c>
      <c r="C17" s="11" t="s">
        <v>914</v>
      </c>
      <c r="D17" s="11" t="s">
        <v>1595</v>
      </c>
      <c r="E17" s="11" t="s">
        <v>1596</v>
      </c>
      <c r="F17" s="11" t="s">
        <v>1597</v>
      </c>
      <c r="G17" s="11" t="s">
        <v>1410</v>
      </c>
      <c r="H17" s="16">
        <v>1</v>
      </c>
      <c r="I17" s="11" t="s">
        <v>231</v>
      </c>
      <c r="J17" s="11" t="s">
        <v>748</v>
      </c>
      <c r="K17" s="11" t="s">
        <v>1598</v>
      </c>
      <c r="L17" s="11" t="s">
        <v>1599</v>
      </c>
      <c r="M17" s="11" t="s">
        <v>1601</v>
      </c>
      <c r="N17" s="11" t="s">
        <v>1602</v>
      </c>
      <c r="O17" s="11" t="s">
        <v>711</v>
      </c>
      <c r="P17" s="29" t="s">
        <v>1603</v>
      </c>
    </row>
    <row r="18" spans="1:16" ht="110.4" hidden="1">
      <c r="A18" s="11" t="s">
        <v>1604</v>
      </c>
      <c r="B18" s="11">
        <v>9</v>
      </c>
      <c r="C18" s="11" t="s">
        <v>914</v>
      </c>
      <c r="D18" s="11" t="s">
        <v>1605</v>
      </c>
      <c r="E18" s="11" t="s">
        <v>1606</v>
      </c>
      <c r="F18" s="11" t="s">
        <v>1607</v>
      </c>
      <c r="G18" s="11" t="s">
        <v>1400</v>
      </c>
      <c r="H18" s="16">
        <v>1</v>
      </c>
      <c r="I18" s="11" t="s">
        <v>242</v>
      </c>
      <c r="J18" s="11" t="s">
        <v>1608</v>
      </c>
      <c r="K18" s="11" t="s">
        <v>1609</v>
      </c>
      <c r="L18" s="11" t="s">
        <v>1610</v>
      </c>
      <c r="M18" s="11" t="s">
        <v>1612</v>
      </c>
      <c r="N18" s="11" t="s">
        <v>1615</v>
      </c>
      <c r="O18" s="11" t="s">
        <v>711</v>
      </c>
      <c r="P18" s="29" t="s">
        <v>1616</v>
      </c>
    </row>
    <row r="19" spans="1:16" ht="110.4" hidden="1">
      <c r="A19" s="11" t="s">
        <v>1617</v>
      </c>
      <c r="B19" s="11">
        <v>10</v>
      </c>
      <c r="C19" s="11" t="s">
        <v>914</v>
      </c>
      <c r="D19" s="11" t="s">
        <v>1478</v>
      </c>
      <c r="E19" s="11" t="s">
        <v>1618</v>
      </c>
      <c r="F19" s="11" t="s">
        <v>1619</v>
      </c>
      <c r="G19" s="11" t="s">
        <v>1400</v>
      </c>
      <c r="H19" s="16">
        <v>1</v>
      </c>
      <c r="I19" s="11" t="s">
        <v>242</v>
      </c>
      <c r="J19" s="11" t="s">
        <v>781</v>
      </c>
      <c r="K19" s="11" t="s">
        <v>1620</v>
      </c>
      <c r="L19" s="11" t="s">
        <v>1621</v>
      </c>
      <c r="M19" s="11" t="s">
        <v>1623</v>
      </c>
      <c r="N19" s="11" t="s">
        <v>1625</v>
      </c>
      <c r="O19" s="11" t="s">
        <v>711</v>
      </c>
      <c r="P19" s="29" t="s">
        <v>1626</v>
      </c>
    </row>
    <row r="20" spans="1:16" ht="124.2">
      <c r="A20" s="11" t="s">
        <v>247</v>
      </c>
      <c r="B20" s="11">
        <v>11</v>
      </c>
      <c r="C20" s="11" t="s">
        <v>954</v>
      </c>
      <c r="D20" s="11" t="s">
        <v>1627</v>
      </c>
      <c r="E20" s="11" t="s">
        <v>1628</v>
      </c>
      <c r="F20" s="11" t="s">
        <v>1629</v>
      </c>
      <c r="G20" s="11" t="s">
        <v>577</v>
      </c>
      <c r="H20" s="16">
        <v>0.75</v>
      </c>
      <c r="I20" s="11" t="s">
        <v>243</v>
      </c>
      <c r="J20" s="11" t="s">
        <v>1394</v>
      </c>
      <c r="K20" s="11" t="s">
        <v>1630</v>
      </c>
      <c r="L20" s="11" t="s">
        <v>1631</v>
      </c>
      <c r="M20" s="11" t="s">
        <v>1633</v>
      </c>
      <c r="N20" s="11" t="s">
        <v>1635</v>
      </c>
      <c r="O20" s="11" t="s">
        <v>711</v>
      </c>
      <c r="P20" s="29" t="s">
        <v>1636</v>
      </c>
    </row>
    <row r="21" spans="1:16" ht="96.6" hidden="1">
      <c r="A21" s="11" t="s">
        <v>1637</v>
      </c>
      <c r="B21" s="11">
        <v>12</v>
      </c>
      <c r="C21" s="11" t="s">
        <v>914</v>
      </c>
      <c r="D21" s="11" t="s">
        <v>1500</v>
      </c>
      <c r="E21" s="11" t="s">
        <v>1638</v>
      </c>
      <c r="F21" s="11" t="s">
        <v>1639</v>
      </c>
      <c r="G21" s="11" t="s">
        <v>577</v>
      </c>
      <c r="H21" s="16">
        <v>0.75</v>
      </c>
      <c r="I21" s="11" t="s">
        <v>328</v>
      </c>
      <c r="J21" s="11" t="s">
        <v>1640</v>
      </c>
      <c r="K21" s="11" t="s">
        <v>1641</v>
      </c>
      <c r="L21" s="11" t="s">
        <v>1642</v>
      </c>
      <c r="M21" s="11" t="s">
        <v>1644</v>
      </c>
      <c r="N21" s="11" t="s">
        <v>1646</v>
      </c>
      <c r="O21" s="11" t="s">
        <v>711</v>
      </c>
      <c r="P21" s="29" t="s">
        <v>1647</v>
      </c>
    </row>
    <row r="22" spans="1:16" ht="82.8">
      <c r="A22" t="s">
        <v>1648</v>
      </c>
      <c r="B22">
        <v>13</v>
      </c>
      <c r="C22" t="s">
        <v>914</v>
      </c>
      <c r="D22" t="s">
        <v>1513</v>
      </c>
      <c r="E22" t="s">
        <v>1649</v>
      </c>
      <c r="F22" t="s">
        <v>1650</v>
      </c>
      <c r="G22" t="s">
        <v>1400</v>
      </c>
      <c r="H22">
        <v>1</v>
      </c>
      <c r="I22" t="s">
        <v>1516</v>
      </c>
      <c r="J22" t="s">
        <v>1394</v>
      </c>
      <c r="K22" t="s">
        <v>1651</v>
      </c>
      <c r="L22" t="s">
        <v>1518</v>
      </c>
      <c r="M22" t="s">
        <v>1652</v>
      </c>
      <c r="N22" t="s">
        <v>1522</v>
      </c>
      <c r="O22" t="s">
        <v>711</v>
      </c>
      <c r="P22" s="29" t="s">
        <v>1654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231</v>
      </c>
      <c r="C26" s="22" t="s">
        <v>2219</v>
      </c>
      <c r="D26" s="22" t="s">
        <v>2220</v>
      </c>
      <c r="E26" s="22" t="s">
        <v>2221</v>
      </c>
      <c r="F26" s="22" t="s">
        <v>2222</v>
      </c>
      <c r="G26" s="22" t="s">
        <v>2208</v>
      </c>
    </row>
    <row r="27" spans="1:16" ht="52.05" customHeight="1">
      <c r="A27" s="34">
        <v>2</v>
      </c>
      <c r="B27" s="34" t="s">
        <v>232</v>
      </c>
      <c r="C27" s="34" t="s">
        <v>233</v>
      </c>
      <c r="D27" s="34" t="s">
        <v>234</v>
      </c>
      <c r="E27" s="34" t="s">
        <v>235</v>
      </c>
      <c r="F27" s="34" t="s">
        <v>2223</v>
      </c>
      <c r="G27" s="34" t="s">
        <v>2208</v>
      </c>
    </row>
    <row r="28" spans="1:16" ht="52.05" customHeight="1">
      <c r="A28" s="22">
        <v>3</v>
      </c>
      <c r="B28" s="22" t="s">
        <v>237</v>
      </c>
      <c r="C28" s="22" t="s">
        <v>238</v>
      </c>
      <c r="D28" s="22" t="s">
        <v>239</v>
      </c>
      <c r="E28" s="22" t="s">
        <v>240</v>
      </c>
      <c r="F28" s="22" t="s">
        <v>2224</v>
      </c>
      <c r="G28" s="22" t="s">
        <v>2208</v>
      </c>
    </row>
    <row r="29" spans="1:16" ht="52.05" customHeight="1">
      <c r="A29" s="34">
        <v>4</v>
      </c>
      <c r="B29" s="34" t="s">
        <v>242</v>
      </c>
      <c r="C29" s="34" t="s">
        <v>2225</v>
      </c>
      <c r="D29" s="34" t="s">
        <v>2226</v>
      </c>
      <c r="E29" s="34" t="s">
        <v>2227</v>
      </c>
      <c r="F29" s="34" t="s">
        <v>2228</v>
      </c>
      <c r="G29" s="34" t="s">
        <v>2208</v>
      </c>
    </row>
    <row r="30" spans="1:16" ht="52.05" customHeight="1">
      <c r="A30" s="22">
        <v>5</v>
      </c>
      <c r="B30" s="22" t="s">
        <v>243</v>
      </c>
      <c r="C30" s="22" t="s">
        <v>244</v>
      </c>
      <c r="D30" s="22" t="s">
        <v>245</v>
      </c>
      <c r="E30" s="22" t="s">
        <v>246</v>
      </c>
      <c r="F30" s="22" t="s">
        <v>1633</v>
      </c>
      <c r="G30" s="22" t="s">
        <v>2229</v>
      </c>
    </row>
    <row r="31" spans="1:16" ht="52.05" customHeight="1">
      <c r="A31" s="35">
        <v>6</v>
      </c>
      <c r="B31" s="35" t="s">
        <v>328</v>
      </c>
      <c r="C31" s="35" t="s">
        <v>330</v>
      </c>
      <c r="D31" s="35" t="s">
        <v>2212</v>
      </c>
      <c r="E31" s="35" t="s">
        <v>332</v>
      </c>
      <c r="F31" s="35" t="s">
        <v>2213</v>
      </c>
      <c r="G31" s="35" t="s">
        <v>2205</v>
      </c>
    </row>
    <row r="32" spans="1:16" ht="52.05" customHeight="1">
      <c r="A32" s="35">
        <v>7</v>
      </c>
      <c r="B32" s="35" t="s">
        <v>1516</v>
      </c>
      <c r="C32" s="35" t="s">
        <v>2230</v>
      </c>
      <c r="D32" s="35" t="s">
        <v>2215</v>
      </c>
      <c r="E32" s="35" t="s">
        <v>2216</v>
      </c>
      <c r="F32" s="35" t="s">
        <v>2231</v>
      </c>
      <c r="G32"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4" priority="1" operator="containsText" text="Done"/>
    <cfRule type="containsText" dxfId="53" priority="2" operator="containsText" text="Blocked"/>
    <cfRule type="containsText" dxfId="52" priority="3" operator="containsText" text="In Progress"/>
    <cfRule type="containsText" dxfId="51"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41</v>
      </c>
      <c r="B1" s="51"/>
      <c r="C1" s="51"/>
      <c r="D1" s="51"/>
      <c r="E1" s="51"/>
      <c r="F1" s="51"/>
      <c r="G1" s="51"/>
      <c r="H1" s="51"/>
      <c r="I1" s="51"/>
      <c r="J1" s="51"/>
      <c r="K1" s="51"/>
      <c r="L1" s="51"/>
      <c r="M1" s="51"/>
      <c r="N1" s="51"/>
      <c r="O1" s="51"/>
    </row>
    <row r="2" spans="1:16" ht="31.95" customHeight="1">
      <c r="A2" s="52" t="s">
        <v>42</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43</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1655</v>
      </c>
      <c r="B10" s="10">
        <v>1</v>
      </c>
      <c r="C10" s="10" t="s">
        <v>914</v>
      </c>
      <c r="D10" s="10" t="s">
        <v>1656</v>
      </c>
      <c r="E10" s="10" t="s">
        <v>1657</v>
      </c>
      <c r="F10" s="10" t="s">
        <v>1658</v>
      </c>
      <c r="G10" s="10" t="s">
        <v>1410</v>
      </c>
      <c r="H10" s="15">
        <v>1</v>
      </c>
      <c r="I10" s="10" t="s">
        <v>248</v>
      </c>
      <c r="J10" s="10" t="s">
        <v>742</v>
      </c>
      <c r="K10" s="10" t="s">
        <v>1659</v>
      </c>
      <c r="L10" s="10" t="s">
        <v>1660</v>
      </c>
      <c r="M10" s="10" t="s">
        <v>1662</v>
      </c>
      <c r="N10" s="10" t="s">
        <v>1664</v>
      </c>
      <c r="O10" s="10" t="s">
        <v>711</v>
      </c>
      <c r="P10" s="29" t="s">
        <v>1665</v>
      </c>
    </row>
    <row r="11" spans="1:16" ht="110.4">
      <c r="A11" s="11" t="s">
        <v>1666</v>
      </c>
      <c r="B11" s="11">
        <v>2</v>
      </c>
      <c r="C11" s="11" t="s">
        <v>914</v>
      </c>
      <c r="D11" s="11" t="s">
        <v>1667</v>
      </c>
      <c r="E11" s="11" t="s">
        <v>1668</v>
      </c>
      <c r="F11" s="11" t="s">
        <v>1669</v>
      </c>
      <c r="G11" s="11" t="s">
        <v>1410</v>
      </c>
      <c r="H11" s="16">
        <v>1.25</v>
      </c>
      <c r="I11" s="11" t="s">
        <v>248</v>
      </c>
      <c r="J11" s="11" t="s">
        <v>1670</v>
      </c>
      <c r="K11" s="11" t="s">
        <v>1671</v>
      </c>
      <c r="L11" s="11" t="s">
        <v>1672</v>
      </c>
      <c r="M11" s="11" t="s">
        <v>1674</v>
      </c>
      <c r="N11" s="11" t="s">
        <v>1675</v>
      </c>
      <c r="O11" s="11" t="s">
        <v>711</v>
      </c>
      <c r="P11" s="29" t="s">
        <v>1676</v>
      </c>
    </row>
    <row r="12" spans="1:16" ht="110.4">
      <c r="A12" s="11" t="s">
        <v>1677</v>
      </c>
      <c r="B12" s="11">
        <v>3</v>
      </c>
      <c r="C12" s="11" t="s">
        <v>914</v>
      </c>
      <c r="D12" s="11" t="s">
        <v>1678</v>
      </c>
      <c r="E12" s="11" t="s">
        <v>1679</v>
      </c>
      <c r="F12" s="11" t="s">
        <v>1680</v>
      </c>
      <c r="G12" s="11" t="s">
        <v>1410</v>
      </c>
      <c r="H12" s="16">
        <v>0.75</v>
      </c>
      <c r="I12" s="11" t="s">
        <v>248</v>
      </c>
      <c r="J12" s="11" t="s">
        <v>1394</v>
      </c>
      <c r="K12" s="11" t="s">
        <v>1681</v>
      </c>
      <c r="L12" s="11" t="s">
        <v>1682</v>
      </c>
      <c r="M12" s="11" t="s">
        <v>1684</v>
      </c>
      <c r="N12" s="11" t="s">
        <v>1685</v>
      </c>
      <c r="O12" s="11" t="s">
        <v>711</v>
      </c>
      <c r="P12" s="29" t="s">
        <v>1686</v>
      </c>
    </row>
    <row r="13" spans="1:16" ht="110.4">
      <c r="A13" s="11" t="s">
        <v>1687</v>
      </c>
      <c r="B13" s="11">
        <v>4</v>
      </c>
      <c r="C13" s="11" t="s">
        <v>914</v>
      </c>
      <c r="D13" s="11" t="s">
        <v>1688</v>
      </c>
      <c r="E13" s="11" t="s">
        <v>1689</v>
      </c>
      <c r="F13" s="11" t="s">
        <v>1690</v>
      </c>
      <c r="G13" s="11" t="s">
        <v>1410</v>
      </c>
      <c r="H13" s="16">
        <v>1.5</v>
      </c>
      <c r="I13" s="11" t="s">
        <v>248</v>
      </c>
      <c r="J13" s="11" t="s">
        <v>789</v>
      </c>
      <c r="K13" s="11" t="s">
        <v>1691</v>
      </c>
      <c r="L13" s="11" t="s">
        <v>426</v>
      </c>
      <c r="M13" s="11" t="s">
        <v>1693</v>
      </c>
      <c r="N13" s="11" t="s">
        <v>1695</v>
      </c>
      <c r="O13" s="11" t="s">
        <v>711</v>
      </c>
      <c r="P13" s="29" t="s">
        <v>1696</v>
      </c>
    </row>
    <row r="14" spans="1:16" ht="110.4">
      <c r="A14" s="11" t="s">
        <v>1697</v>
      </c>
      <c r="B14" s="11">
        <v>5</v>
      </c>
      <c r="C14" s="11" t="s">
        <v>914</v>
      </c>
      <c r="D14" s="11" t="s">
        <v>948</v>
      </c>
      <c r="E14" s="11" t="s">
        <v>1698</v>
      </c>
      <c r="F14" s="11" t="s">
        <v>1699</v>
      </c>
      <c r="G14" s="11" t="s">
        <v>1410</v>
      </c>
      <c r="H14" s="16">
        <v>1</v>
      </c>
      <c r="I14" s="11" t="s">
        <v>258</v>
      </c>
      <c r="J14" s="11" t="s">
        <v>1700</v>
      </c>
      <c r="K14" s="11" t="s">
        <v>1701</v>
      </c>
      <c r="L14" s="11" t="s">
        <v>1702</v>
      </c>
      <c r="M14" s="11" t="s">
        <v>1704</v>
      </c>
      <c r="N14" s="11" t="s">
        <v>1705</v>
      </c>
      <c r="O14" s="11" t="s">
        <v>711</v>
      </c>
      <c r="P14" s="29" t="s">
        <v>1706</v>
      </c>
    </row>
    <row r="15" spans="1:16" ht="110.4">
      <c r="A15" s="11" t="s">
        <v>1707</v>
      </c>
      <c r="B15" s="11">
        <v>6</v>
      </c>
      <c r="C15" s="11" t="s">
        <v>914</v>
      </c>
      <c r="D15" s="11" t="s">
        <v>1708</v>
      </c>
      <c r="E15" s="11" t="s">
        <v>1709</v>
      </c>
      <c r="F15" s="11" t="s">
        <v>1710</v>
      </c>
      <c r="G15" s="11" t="s">
        <v>577</v>
      </c>
      <c r="H15" s="16">
        <v>1.25</v>
      </c>
      <c r="I15" s="11" t="s">
        <v>253</v>
      </c>
      <c r="J15" s="11" t="s">
        <v>1711</v>
      </c>
      <c r="K15" s="11" t="s">
        <v>1712</v>
      </c>
      <c r="L15" s="11" t="s">
        <v>1713</v>
      </c>
      <c r="M15" s="11" t="s">
        <v>1715</v>
      </c>
      <c r="N15" s="11" t="s">
        <v>1716</v>
      </c>
      <c r="O15" s="11" t="s">
        <v>711</v>
      </c>
      <c r="P15" s="29" t="s">
        <v>1717</v>
      </c>
    </row>
    <row r="16" spans="1:16" ht="110.4">
      <c r="A16" s="11" t="s">
        <v>1718</v>
      </c>
      <c r="B16" s="11">
        <v>7</v>
      </c>
      <c r="C16" s="11" t="s">
        <v>914</v>
      </c>
      <c r="D16" s="11" t="s">
        <v>1719</v>
      </c>
      <c r="E16" s="11" t="s">
        <v>1720</v>
      </c>
      <c r="F16" s="11" t="s">
        <v>1721</v>
      </c>
      <c r="G16" s="11" t="s">
        <v>1410</v>
      </c>
      <c r="H16" s="16">
        <v>1.5</v>
      </c>
      <c r="I16" s="11" t="s">
        <v>253</v>
      </c>
      <c r="J16" s="11" t="s">
        <v>717</v>
      </c>
      <c r="K16" s="11" t="s">
        <v>1722</v>
      </c>
      <c r="L16" s="11" t="s">
        <v>1723</v>
      </c>
      <c r="M16" s="11" t="s">
        <v>439</v>
      </c>
      <c r="N16" s="11" t="s">
        <v>1726</v>
      </c>
      <c r="O16" s="11" t="s">
        <v>711</v>
      </c>
      <c r="P16" s="29" t="s">
        <v>1727</v>
      </c>
    </row>
    <row r="17" spans="1:16" ht="110.4">
      <c r="A17" s="11" t="s">
        <v>1728</v>
      </c>
      <c r="B17" s="11">
        <v>8</v>
      </c>
      <c r="C17" s="11" t="s">
        <v>914</v>
      </c>
      <c r="D17" s="11" t="s">
        <v>1729</v>
      </c>
      <c r="E17" s="11" t="s">
        <v>1730</v>
      </c>
      <c r="F17" s="11" t="s">
        <v>1731</v>
      </c>
      <c r="G17" s="11" t="s">
        <v>1410</v>
      </c>
      <c r="H17" s="16">
        <v>1</v>
      </c>
      <c r="I17" s="11" t="s">
        <v>258</v>
      </c>
      <c r="J17" s="11" t="s">
        <v>748</v>
      </c>
      <c r="K17" s="11" t="s">
        <v>1732</v>
      </c>
      <c r="L17" s="11" t="s">
        <v>431</v>
      </c>
      <c r="M17" s="11" t="s">
        <v>1734</v>
      </c>
      <c r="N17" s="11" t="s">
        <v>1735</v>
      </c>
      <c r="O17" s="11" t="s">
        <v>711</v>
      </c>
      <c r="P17" s="29" t="s">
        <v>1736</v>
      </c>
    </row>
    <row r="18" spans="1:16" ht="110.4">
      <c r="A18" s="11" t="s">
        <v>1737</v>
      </c>
      <c r="B18" s="11">
        <v>9</v>
      </c>
      <c r="C18" s="11" t="s">
        <v>914</v>
      </c>
      <c r="D18" s="11" t="s">
        <v>1285</v>
      </c>
      <c r="E18" s="11" t="s">
        <v>1738</v>
      </c>
      <c r="F18" s="11" t="s">
        <v>1739</v>
      </c>
      <c r="G18" s="11" t="s">
        <v>1410</v>
      </c>
      <c r="H18" s="16">
        <v>0.75</v>
      </c>
      <c r="I18" s="11" t="s">
        <v>278</v>
      </c>
      <c r="J18" s="11" t="s">
        <v>761</v>
      </c>
      <c r="K18" s="11" t="s">
        <v>1740</v>
      </c>
      <c r="L18" s="11" t="s">
        <v>1741</v>
      </c>
      <c r="M18" s="11" t="s">
        <v>1743</v>
      </c>
      <c r="N18" s="11" t="s">
        <v>1744</v>
      </c>
      <c r="O18" s="11" t="s">
        <v>711</v>
      </c>
      <c r="P18" s="29" t="s">
        <v>1745</v>
      </c>
    </row>
    <row r="19" spans="1:16" ht="110.4">
      <c r="A19" s="11" t="s">
        <v>1746</v>
      </c>
      <c r="B19" s="11">
        <v>10</v>
      </c>
      <c r="C19" s="11" t="s">
        <v>914</v>
      </c>
      <c r="D19" s="11" t="s">
        <v>1747</v>
      </c>
      <c r="E19" s="11" t="s">
        <v>1748</v>
      </c>
      <c r="F19" s="11" t="s">
        <v>1749</v>
      </c>
      <c r="G19" s="11" t="s">
        <v>1400</v>
      </c>
      <c r="H19" s="16">
        <v>0.75</v>
      </c>
      <c r="I19" s="11" t="s">
        <v>253</v>
      </c>
      <c r="J19" s="11" t="s">
        <v>765</v>
      </c>
      <c r="K19" s="11" t="s">
        <v>1750</v>
      </c>
      <c r="L19" s="11" t="s">
        <v>437</v>
      </c>
      <c r="M19" s="11" t="s">
        <v>1752</v>
      </c>
      <c r="N19" s="11" t="s">
        <v>1753</v>
      </c>
      <c r="O19" s="11" t="s">
        <v>711</v>
      </c>
      <c r="P19" s="29" t="s">
        <v>1754</v>
      </c>
    </row>
    <row r="20" spans="1:16" ht="110.4">
      <c r="A20" s="11" t="s">
        <v>267</v>
      </c>
      <c r="B20" s="11">
        <v>11</v>
      </c>
      <c r="C20" s="11" t="s">
        <v>914</v>
      </c>
      <c r="D20" s="11" t="s">
        <v>1755</v>
      </c>
      <c r="E20" s="11" t="s">
        <v>1756</v>
      </c>
      <c r="F20" s="11" t="s">
        <v>1757</v>
      </c>
      <c r="G20" s="11" t="s">
        <v>1400</v>
      </c>
      <c r="H20" s="16">
        <v>1</v>
      </c>
      <c r="I20" s="11" t="s">
        <v>263</v>
      </c>
      <c r="J20" s="11" t="s">
        <v>1394</v>
      </c>
      <c r="K20" s="11" t="s">
        <v>1758</v>
      </c>
      <c r="L20" s="11" t="s">
        <v>443</v>
      </c>
      <c r="M20" s="11" t="s">
        <v>445</v>
      </c>
      <c r="N20" s="11" t="s">
        <v>1760</v>
      </c>
      <c r="O20" s="11" t="s">
        <v>711</v>
      </c>
      <c r="P20" s="29" t="s">
        <v>1761</v>
      </c>
    </row>
    <row r="21" spans="1:16" ht="96.6">
      <c r="A21" s="11" t="s">
        <v>1762</v>
      </c>
      <c r="B21" s="11">
        <v>12</v>
      </c>
      <c r="C21" s="11" t="s">
        <v>914</v>
      </c>
      <c r="D21" s="11" t="s">
        <v>1500</v>
      </c>
      <c r="E21" s="11" t="s">
        <v>1763</v>
      </c>
      <c r="F21" s="11" t="s">
        <v>1764</v>
      </c>
      <c r="G21" s="11" t="s">
        <v>577</v>
      </c>
      <c r="H21" s="16">
        <v>0.75</v>
      </c>
      <c r="I21" s="11" t="s">
        <v>328</v>
      </c>
      <c r="J21" s="11" t="s">
        <v>757</v>
      </c>
      <c r="K21" s="11" t="s">
        <v>1765</v>
      </c>
      <c r="L21" s="11" t="s">
        <v>1766</v>
      </c>
      <c r="M21" s="11" t="s">
        <v>1768</v>
      </c>
      <c r="N21" s="11" t="s">
        <v>1770</v>
      </c>
      <c r="O21" s="11" t="s">
        <v>711</v>
      </c>
      <c r="P21" s="29" t="s">
        <v>1771</v>
      </c>
    </row>
    <row r="22" spans="1:16" ht="82.8">
      <c r="A22" t="s">
        <v>1772</v>
      </c>
      <c r="B22">
        <v>13</v>
      </c>
      <c r="C22" t="s">
        <v>914</v>
      </c>
      <c r="D22" t="s">
        <v>1513</v>
      </c>
      <c r="E22" t="s">
        <v>1773</v>
      </c>
      <c r="F22" t="s">
        <v>1774</v>
      </c>
      <c r="G22" t="s">
        <v>1400</v>
      </c>
      <c r="H22">
        <v>1</v>
      </c>
      <c r="I22" t="s">
        <v>1516</v>
      </c>
      <c r="J22" t="s">
        <v>1394</v>
      </c>
      <c r="K22" t="s">
        <v>1775</v>
      </c>
      <c r="L22" t="s">
        <v>1518</v>
      </c>
      <c r="M22" t="s">
        <v>1776</v>
      </c>
      <c r="N22" t="s">
        <v>1522</v>
      </c>
      <c r="O22" t="s">
        <v>711</v>
      </c>
      <c r="P22" s="29" t="s">
        <v>1779</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248</v>
      </c>
      <c r="C26" s="22" t="s">
        <v>249</v>
      </c>
      <c r="D26" s="22" t="s">
        <v>250</v>
      </c>
      <c r="E26" s="22" t="s">
        <v>251</v>
      </c>
      <c r="F26" s="22" t="s">
        <v>2232</v>
      </c>
      <c r="G26" s="22" t="s">
        <v>2208</v>
      </c>
    </row>
    <row r="27" spans="1:16" ht="52.05" customHeight="1">
      <c r="A27" s="34">
        <v>2</v>
      </c>
      <c r="B27" s="34" t="s">
        <v>253</v>
      </c>
      <c r="C27" s="34" t="s">
        <v>254</v>
      </c>
      <c r="D27" s="34" t="s">
        <v>255</v>
      </c>
      <c r="E27" s="34" t="s">
        <v>256</v>
      </c>
      <c r="F27" s="34" t="s">
        <v>2233</v>
      </c>
      <c r="G27" s="34" t="s">
        <v>2208</v>
      </c>
    </row>
    <row r="28" spans="1:16" ht="52.05" customHeight="1">
      <c r="A28" s="22">
        <v>3</v>
      </c>
      <c r="B28" s="22" t="s">
        <v>258</v>
      </c>
      <c r="C28" s="22" t="s">
        <v>259</v>
      </c>
      <c r="D28" s="22" t="s">
        <v>260</v>
      </c>
      <c r="E28" s="22" t="s">
        <v>261</v>
      </c>
      <c r="F28" s="22" t="s">
        <v>2234</v>
      </c>
      <c r="G28" s="22" t="s">
        <v>2208</v>
      </c>
    </row>
    <row r="29" spans="1:16" ht="52.05" customHeight="1">
      <c r="A29" s="34">
        <v>4</v>
      </c>
      <c r="B29" s="34" t="s">
        <v>263</v>
      </c>
      <c r="C29" s="34" t="s">
        <v>264</v>
      </c>
      <c r="D29" s="34" t="s">
        <v>265</v>
      </c>
      <c r="E29" s="34" t="s">
        <v>266</v>
      </c>
      <c r="F29" s="34" t="s">
        <v>2235</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2236</v>
      </c>
      <c r="D31" s="35" t="s">
        <v>2215</v>
      </c>
      <c r="E31" s="35" t="s">
        <v>2216</v>
      </c>
      <c r="F31" s="35" t="s">
        <v>2237</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0" priority="1" operator="containsText" text="Done"/>
    <cfRule type="containsText" dxfId="49" priority="2" operator="containsText" text="Blocked"/>
    <cfRule type="containsText" dxfId="48" priority="3" operator="containsText" text="In Progress"/>
    <cfRule type="containsText" dxfId="47"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44</v>
      </c>
      <c r="B1" s="51"/>
      <c r="C1" s="51"/>
      <c r="D1" s="51"/>
      <c r="E1" s="51"/>
      <c r="F1" s="51"/>
      <c r="G1" s="51"/>
      <c r="H1" s="51"/>
      <c r="I1" s="51"/>
      <c r="J1" s="51"/>
      <c r="K1" s="51"/>
      <c r="L1" s="51"/>
      <c r="M1" s="51"/>
      <c r="N1" s="51"/>
      <c r="O1" s="51"/>
    </row>
    <row r="2" spans="1:16" ht="31.95" customHeight="1">
      <c r="A2" s="52" t="s">
        <v>45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46</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1780</v>
      </c>
      <c r="B10" s="10">
        <v>1</v>
      </c>
      <c r="C10" s="10" t="s">
        <v>914</v>
      </c>
      <c r="D10" s="10" t="s">
        <v>1781</v>
      </c>
      <c r="E10" s="10" t="s">
        <v>1782</v>
      </c>
      <c r="F10" s="10" t="s">
        <v>1783</v>
      </c>
      <c r="G10" s="10" t="s">
        <v>1410</v>
      </c>
      <c r="H10" s="15">
        <v>1.5</v>
      </c>
      <c r="I10" s="10" t="s">
        <v>268</v>
      </c>
      <c r="J10" s="10" t="s">
        <v>748</v>
      </c>
      <c r="K10" s="10" t="s">
        <v>1784</v>
      </c>
      <c r="L10" s="10" t="s">
        <v>448</v>
      </c>
      <c r="M10" s="10" t="s">
        <v>1786</v>
      </c>
      <c r="N10" s="10" t="s">
        <v>1787</v>
      </c>
      <c r="O10" s="10" t="s">
        <v>711</v>
      </c>
      <c r="P10" s="29" t="s">
        <v>1788</v>
      </c>
    </row>
    <row r="11" spans="1:16" ht="110.4">
      <c r="A11" s="11" t="s">
        <v>1789</v>
      </c>
      <c r="B11" s="11">
        <v>2</v>
      </c>
      <c r="C11" s="11" t="s">
        <v>914</v>
      </c>
      <c r="D11" s="11" t="s">
        <v>1595</v>
      </c>
      <c r="E11" s="11" t="s">
        <v>1790</v>
      </c>
      <c r="F11" s="11" t="s">
        <v>1791</v>
      </c>
      <c r="G11" s="11" t="s">
        <v>1410</v>
      </c>
      <c r="H11" s="16">
        <v>1</v>
      </c>
      <c r="I11" s="11" t="s">
        <v>268</v>
      </c>
      <c r="J11" s="11" t="s">
        <v>748</v>
      </c>
      <c r="K11" s="11" t="s">
        <v>1792</v>
      </c>
      <c r="L11" s="11" t="s">
        <v>1793</v>
      </c>
      <c r="M11" s="11" t="s">
        <v>1795</v>
      </c>
      <c r="N11" s="11" t="s">
        <v>1796</v>
      </c>
      <c r="O11" s="11" t="s">
        <v>711</v>
      </c>
      <c r="P11" s="29" t="s">
        <v>1797</v>
      </c>
    </row>
    <row r="12" spans="1:16" ht="110.4">
      <c r="A12" s="11" t="s">
        <v>1798</v>
      </c>
      <c r="B12" s="11">
        <v>3</v>
      </c>
      <c r="C12" s="11" t="s">
        <v>914</v>
      </c>
      <c r="D12" s="11" t="s">
        <v>1799</v>
      </c>
      <c r="E12" s="11" t="s">
        <v>1800</v>
      </c>
      <c r="F12" s="11" t="s">
        <v>1801</v>
      </c>
      <c r="G12" s="11" t="s">
        <v>1410</v>
      </c>
      <c r="H12" s="16">
        <v>1.25</v>
      </c>
      <c r="I12" s="11" t="s">
        <v>273</v>
      </c>
      <c r="J12" s="11" t="s">
        <v>757</v>
      </c>
      <c r="K12" s="11" t="s">
        <v>1802</v>
      </c>
      <c r="L12" s="11" t="s">
        <v>1803</v>
      </c>
      <c r="M12" s="11" t="s">
        <v>1805</v>
      </c>
      <c r="N12" s="11" t="s">
        <v>1806</v>
      </c>
      <c r="O12" s="11" t="s">
        <v>711</v>
      </c>
      <c r="P12" s="29" t="s">
        <v>1807</v>
      </c>
    </row>
    <row r="13" spans="1:16" ht="110.4">
      <c r="A13" s="11" t="s">
        <v>1808</v>
      </c>
      <c r="B13" s="11">
        <v>4</v>
      </c>
      <c r="C13" s="11" t="s">
        <v>914</v>
      </c>
      <c r="D13" s="11" t="s">
        <v>1809</v>
      </c>
      <c r="E13" s="11" t="s">
        <v>1810</v>
      </c>
      <c r="F13" s="11" t="s">
        <v>1811</v>
      </c>
      <c r="G13" s="11" t="s">
        <v>1410</v>
      </c>
      <c r="H13" s="16">
        <v>0.75</v>
      </c>
      <c r="I13" s="11" t="s">
        <v>273</v>
      </c>
      <c r="J13" s="11" t="s">
        <v>1394</v>
      </c>
      <c r="K13" s="11" t="s">
        <v>1812</v>
      </c>
      <c r="L13" s="11" t="s">
        <v>1813</v>
      </c>
      <c r="M13" s="11" t="s">
        <v>1815</v>
      </c>
      <c r="N13" s="11" t="s">
        <v>1816</v>
      </c>
      <c r="O13" s="11" t="s">
        <v>711</v>
      </c>
      <c r="P13" s="29" t="s">
        <v>1817</v>
      </c>
    </row>
    <row r="14" spans="1:16" ht="110.4">
      <c r="A14" s="11" t="s">
        <v>1818</v>
      </c>
      <c r="B14" s="11">
        <v>5</v>
      </c>
      <c r="C14" s="11" t="s">
        <v>914</v>
      </c>
      <c r="D14" s="11" t="s">
        <v>1819</v>
      </c>
      <c r="E14" s="11" t="s">
        <v>1820</v>
      </c>
      <c r="F14" s="11" t="s">
        <v>1821</v>
      </c>
      <c r="G14" s="11" t="s">
        <v>1410</v>
      </c>
      <c r="H14" s="16">
        <v>1.25</v>
      </c>
      <c r="I14" s="11" t="s">
        <v>273</v>
      </c>
      <c r="J14" s="11" t="s">
        <v>757</v>
      </c>
      <c r="K14" s="11" t="s">
        <v>1822</v>
      </c>
      <c r="L14" s="11" t="s">
        <v>453</v>
      </c>
      <c r="M14" s="11" t="s">
        <v>1824</v>
      </c>
      <c r="N14" s="11" t="s">
        <v>1826</v>
      </c>
      <c r="O14" s="11" t="s">
        <v>711</v>
      </c>
      <c r="P14" s="29" t="s">
        <v>1827</v>
      </c>
    </row>
    <row r="15" spans="1:16" ht="110.4">
      <c r="A15" s="11" t="s">
        <v>1828</v>
      </c>
      <c r="B15" s="11">
        <v>6</v>
      </c>
      <c r="C15" s="11" t="s">
        <v>914</v>
      </c>
      <c r="D15" s="11" t="s">
        <v>1829</v>
      </c>
      <c r="E15" s="11" t="s">
        <v>1830</v>
      </c>
      <c r="F15" s="11" t="s">
        <v>1831</v>
      </c>
      <c r="G15" s="11" t="s">
        <v>1410</v>
      </c>
      <c r="H15" s="16">
        <v>1</v>
      </c>
      <c r="I15" s="11" t="s">
        <v>273</v>
      </c>
      <c r="J15" s="11" t="s">
        <v>768</v>
      </c>
      <c r="K15" s="11" t="s">
        <v>1832</v>
      </c>
      <c r="L15" s="11" t="s">
        <v>1833</v>
      </c>
      <c r="M15" s="11" t="s">
        <v>1835</v>
      </c>
      <c r="N15" s="11" t="s">
        <v>1836</v>
      </c>
      <c r="O15" s="11" t="s">
        <v>711</v>
      </c>
      <c r="P15" s="29" t="s">
        <v>1837</v>
      </c>
    </row>
    <row r="16" spans="1:16" ht="110.4">
      <c r="A16" s="11" t="s">
        <v>1838</v>
      </c>
      <c r="B16" s="11">
        <v>7</v>
      </c>
      <c r="C16" s="11" t="s">
        <v>914</v>
      </c>
      <c r="D16" s="11" t="s">
        <v>1839</v>
      </c>
      <c r="E16" s="11" t="s">
        <v>1840</v>
      </c>
      <c r="F16" s="11" t="s">
        <v>1841</v>
      </c>
      <c r="G16" s="11" t="s">
        <v>1410</v>
      </c>
      <c r="H16" s="16">
        <v>0.75</v>
      </c>
      <c r="I16" s="11" t="s">
        <v>273</v>
      </c>
      <c r="J16" s="11" t="s">
        <v>775</v>
      </c>
      <c r="K16" s="11" t="s">
        <v>1842</v>
      </c>
      <c r="L16" s="11" t="s">
        <v>1843</v>
      </c>
      <c r="M16" s="11" t="s">
        <v>1845</v>
      </c>
      <c r="N16" s="11" t="s">
        <v>1846</v>
      </c>
      <c r="O16" s="11" t="s">
        <v>711</v>
      </c>
      <c r="P16" s="29" t="s">
        <v>1847</v>
      </c>
    </row>
    <row r="17" spans="1:16" ht="110.4">
      <c r="A17" s="11" t="s">
        <v>1848</v>
      </c>
      <c r="B17" s="11">
        <v>8</v>
      </c>
      <c r="C17" s="11" t="s">
        <v>914</v>
      </c>
      <c r="D17" s="11" t="s">
        <v>462</v>
      </c>
      <c r="E17" s="11" t="s">
        <v>1849</v>
      </c>
      <c r="F17" s="11" t="s">
        <v>1850</v>
      </c>
      <c r="G17" s="11" t="s">
        <v>1410</v>
      </c>
      <c r="H17" s="16">
        <v>1</v>
      </c>
      <c r="I17" s="11" t="s">
        <v>278</v>
      </c>
      <c r="J17" s="11" t="s">
        <v>761</v>
      </c>
      <c r="K17" s="11" t="s">
        <v>1851</v>
      </c>
      <c r="L17" s="11" t="s">
        <v>1852</v>
      </c>
      <c r="M17" s="11" t="s">
        <v>1854</v>
      </c>
      <c r="N17" s="11" t="s">
        <v>1856</v>
      </c>
      <c r="O17" s="11" t="s">
        <v>711</v>
      </c>
      <c r="P17" s="29" t="s">
        <v>1857</v>
      </c>
    </row>
    <row r="18" spans="1:16" ht="110.4">
      <c r="A18" s="11" t="s">
        <v>1858</v>
      </c>
      <c r="B18" s="11">
        <v>9</v>
      </c>
      <c r="C18" s="11" t="s">
        <v>914</v>
      </c>
      <c r="D18" s="11" t="s">
        <v>1859</v>
      </c>
      <c r="E18" s="11" t="s">
        <v>1860</v>
      </c>
      <c r="F18" s="11" t="s">
        <v>1861</v>
      </c>
      <c r="G18" s="11" t="s">
        <v>1410</v>
      </c>
      <c r="H18" s="16">
        <v>1</v>
      </c>
      <c r="I18" s="11" t="s">
        <v>273</v>
      </c>
      <c r="J18" s="11" t="s">
        <v>1394</v>
      </c>
      <c r="K18" s="11" t="s">
        <v>1862</v>
      </c>
      <c r="L18" s="11" t="s">
        <v>1863</v>
      </c>
      <c r="M18" s="11" t="s">
        <v>1865</v>
      </c>
      <c r="N18" s="11" t="s">
        <v>1868</v>
      </c>
      <c r="O18" s="11" t="s">
        <v>711</v>
      </c>
      <c r="P18" s="29" t="s">
        <v>1869</v>
      </c>
    </row>
    <row r="19" spans="1:16" ht="110.4">
      <c r="A19" s="11" t="s">
        <v>1870</v>
      </c>
      <c r="B19" s="11">
        <v>10</v>
      </c>
      <c r="C19" s="11" t="s">
        <v>954</v>
      </c>
      <c r="D19" s="11" t="s">
        <v>1871</v>
      </c>
      <c r="E19" s="11" t="s">
        <v>1872</v>
      </c>
      <c r="F19" s="11" t="s">
        <v>1873</v>
      </c>
      <c r="G19" s="11" t="s">
        <v>1410</v>
      </c>
      <c r="H19" s="16">
        <v>0.75</v>
      </c>
      <c r="I19" s="11" t="s">
        <v>268</v>
      </c>
      <c r="J19" s="11" t="s">
        <v>768</v>
      </c>
      <c r="K19" s="11" t="s">
        <v>1874</v>
      </c>
      <c r="L19" s="11" t="s">
        <v>1875</v>
      </c>
      <c r="M19" s="11" t="s">
        <v>1877</v>
      </c>
      <c r="N19" s="11" t="s">
        <v>1880</v>
      </c>
      <c r="O19" s="11" t="s">
        <v>711</v>
      </c>
      <c r="P19" s="29" t="s">
        <v>1881</v>
      </c>
    </row>
    <row r="20" spans="1:16" ht="110.4">
      <c r="A20" s="11" t="s">
        <v>287</v>
      </c>
      <c r="B20" s="11">
        <v>11</v>
      </c>
      <c r="C20" s="11" t="s">
        <v>914</v>
      </c>
      <c r="D20" s="11" t="s">
        <v>803</v>
      </c>
      <c r="E20" s="11" t="s">
        <v>1882</v>
      </c>
      <c r="F20" s="11" t="s">
        <v>1883</v>
      </c>
      <c r="G20" s="11" t="s">
        <v>1400</v>
      </c>
      <c r="H20" s="16">
        <v>1</v>
      </c>
      <c r="I20" s="11" t="s">
        <v>283</v>
      </c>
      <c r="J20" s="11" t="s">
        <v>1394</v>
      </c>
      <c r="K20" s="11" t="s">
        <v>1884</v>
      </c>
      <c r="L20" s="11" t="s">
        <v>469</v>
      </c>
      <c r="M20" s="11" t="s">
        <v>471</v>
      </c>
      <c r="N20" s="11" t="s">
        <v>1887</v>
      </c>
      <c r="O20" s="11" t="s">
        <v>711</v>
      </c>
      <c r="P20" s="29" t="s">
        <v>1888</v>
      </c>
    </row>
    <row r="21" spans="1:16" ht="96.6">
      <c r="A21" s="11" t="s">
        <v>1889</v>
      </c>
      <c r="B21" s="11">
        <v>12</v>
      </c>
      <c r="C21" s="11" t="s">
        <v>914</v>
      </c>
      <c r="D21" s="11" t="s">
        <v>1500</v>
      </c>
      <c r="E21" s="11" t="s">
        <v>1890</v>
      </c>
      <c r="F21" s="11" t="s">
        <v>1891</v>
      </c>
      <c r="G21" s="11" t="s">
        <v>577</v>
      </c>
      <c r="H21" s="16">
        <v>0.75</v>
      </c>
      <c r="I21" s="11" t="s">
        <v>328</v>
      </c>
      <c r="J21" s="11" t="s">
        <v>1892</v>
      </c>
      <c r="K21" s="11" t="s">
        <v>1893</v>
      </c>
      <c r="L21" s="11" t="s">
        <v>1894</v>
      </c>
      <c r="M21" s="11" t="s">
        <v>1896</v>
      </c>
      <c r="N21" s="11" t="s">
        <v>1898</v>
      </c>
      <c r="O21" s="11" t="s">
        <v>711</v>
      </c>
      <c r="P21" s="29" t="s">
        <v>1899</v>
      </c>
    </row>
    <row r="22" spans="1:16" ht="82.8">
      <c r="A22" t="s">
        <v>1900</v>
      </c>
      <c r="B22">
        <v>13</v>
      </c>
      <c r="C22" t="s">
        <v>914</v>
      </c>
      <c r="D22" t="s">
        <v>1513</v>
      </c>
      <c r="E22" t="s">
        <v>1901</v>
      </c>
      <c r="F22" t="s">
        <v>1902</v>
      </c>
      <c r="G22" t="s">
        <v>1400</v>
      </c>
      <c r="H22">
        <v>1</v>
      </c>
      <c r="I22" t="s">
        <v>1516</v>
      </c>
      <c r="J22" t="s">
        <v>1394</v>
      </c>
      <c r="K22" t="s">
        <v>1903</v>
      </c>
      <c r="L22" t="s">
        <v>1518</v>
      </c>
      <c r="M22" t="s">
        <v>1904</v>
      </c>
      <c r="N22" t="s">
        <v>1522</v>
      </c>
      <c r="O22" t="s">
        <v>711</v>
      </c>
      <c r="P22" s="29" t="s">
        <v>1907</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268</v>
      </c>
      <c r="C26" s="22" t="s">
        <v>269</v>
      </c>
      <c r="D26" s="22" t="s">
        <v>270</v>
      </c>
      <c r="E26" s="22" t="s">
        <v>271</v>
      </c>
      <c r="F26" s="22" t="s">
        <v>2238</v>
      </c>
      <c r="G26" s="22" t="s">
        <v>2208</v>
      </c>
    </row>
    <row r="27" spans="1:16" ht="52.05" customHeight="1">
      <c r="A27" s="34">
        <v>2</v>
      </c>
      <c r="B27" s="34" t="s">
        <v>273</v>
      </c>
      <c r="C27" s="34" t="s">
        <v>274</v>
      </c>
      <c r="D27" s="34" t="s">
        <v>275</v>
      </c>
      <c r="E27" s="34" t="s">
        <v>276</v>
      </c>
      <c r="F27" s="34" t="s">
        <v>2239</v>
      </c>
      <c r="G27" s="34" t="s">
        <v>2208</v>
      </c>
    </row>
    <row r="28" spans="1:16" ht="52.05" customHeight="1">
      <c r="A28" s="22">
        <v>3</v>
      </c>
      <c r="B28" s="22" t="s">
        <v>278</v>
      </c>
      <c r="C28" s="22" t="s">
        <v>279</v>
      </c>
      <c r="D28" s="22" t="s">
        <v>280</v>
      </c>
      <c r="E28" s="22" t="s">
        <v>281</v>
      </c>
      <c r="F28" s="22" t="s">
        <v>2240</v>
      </c>
      <c r="G28" s="22" t="s">
        <v>2208</v>
      </c>
    </row>
    <row r="29" spans="1:16" ht="52.05" customHeight="1">
      <c r="A29" s="34">
        <v>4</v>
      </c>
      <c r="B29" s="34" t="s">
        <v>283</v>
      </c>
      <c r="C29" s="34" t="s">
        <v>284</v>
      </c>
      <c r="D29" s="34" t="s">
        <v>285</v>
      </c>
      <c r="E29" s="34" t="s">
        <v>286</v>
      </c>
      <c r="F29" s="34" t="s">
        <v>2241</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2242</v>
      </c>
      <c r="D31" s="35" t="s">
        <v>2215</v>
      </c>
      <c r="E31" s="35" t="s">
        <v>2216</v>
      </c>
      <c r="F31" s="35" t="s">
        <v>2243</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46" priority="1" operator="containsText" text="Done"/>
    <cfRule type="containsText" dxfId="45" priority="2" operator="containsText" text="Blocked"/>
    <cfRule type="containsText" dxfId="44" priority="3" operator="containsText" text="In Progress"/>
    <cfRule type="containsText" dxfId="43"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47</v>
      </c>
      <c r="B1" s="51"/>
      <c r="C1" s="51"/>
      <c r="D1" s="51"/>
      <c r="E1" s="51"/>
      <c r="F1" s="51"/>
      <c r="G1" s="51"/>
      <c r="H1" s="51"/>
      <c r="I1" s="51"/>
      <c r="J1" s="51"/>
      <c r="K1" s="51"/>
      <c r="L1" s="51"/>
      <c r="M1" s="51"/>
      <c r="N1" s="51"/>
      <c r="O1" s="51"/>
    </row>
    <row r="2" spans="1:16" ht="31.95" customHeight="1">
      <c r="A2" s="52" t="s">
        <v>48</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49</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292</v>
      </c>
      <c r="B10" s="10">
        <v>1</v>
      </c>
      <c r="C10" s="10" t="s">
        <v>914</v>
      </c>
      <c r="D10" s="10" t="s">
        <v>1908</v>
      </c>
      <c r="E10" s="10" t="s">
        <v>1909</v>
      </c>
      <c r="F10" s="10" t="s">
        <v>1910</v>
      </c>
      <c r="G10" s="10" t="s">
        <v>577</v>
      </c>
      <c r="H10" s="15">
        <v>1</v>
      </c>
      <c r="I10" s="10" t="s">
        <v>288</v>
      </c>
      <c r="J10" s="10" t="s">
        <v>1911</v>
      </c>
      <c r="K10" s="10" t="s">
        <v>1912</v>
      </c>
      <c r="L10" s="10" t="s">
        <v>1913</v>
      </c>
      <c r="M10" s="10" t="s">
        <v>1915</v>
      </c>
      <c r="N10" s="10" t="s">
        <v>1916</v>
      </c>
      <c r="O10" s="10" t="s">
        <v>711</v>
      </c>
      <c r="P10" s="29" t="s">
        <v>1917</v>
      </c>
    </row>
    <row r="11" spans="1:16" ht="124.2">
      <c r="A11" s="11" t="s">
        <v>1918</v>
      </c>
      <c r="B11" s="11">
        <v>2</v>
      </c>
      <c r="C11" s="11" t="s">
        <v>914</v>
      </c>
      <c r="D11" s="11" t="s">
        <v>1919</v>
      </c>
      <c r="E11" s="11" t="s">
        <v>1920</v>
      </c>
      <c r="F11" s="11" t="s">
        <v>1921</v>
      </c>
      <c r="G11" s="11" t="s">
        <v>1410</v>
      </c>
      <c r="H11" s="16">
        <v>1.25</v>
      </c>
      <c r="I11" s="11" t="s">
        <v>293</v>
      </c>
      <c r="J11" s="11" t="s">
        <v>1469</v>
      </c>
      <c r="K11" s="11" t="s">
        <v>1922</v>
      </c>
      <c r="L11" s="11" t="s">
        <v>1923</v>
      </c>
      <c r="M11" s="11" t="s">
        <v>1925</v>
      </c>
      <c r="N11" s="11" t="s">
        <v>1926</v>
      </c>
      <c r="O11" s="11" t="s">
        <v>711</v>
      </c>
      <c r="P11" s="29" t="s">
        <v>1927</v>
      </c>
    </row>
    <row r="12" spans="1:16" ht="110.4">
      <c r="A12" s="11" t="s">
        <v>1928</v>
      </c>
      <c r="B12" s="11">
        <v>3</v>
      </c>
      <c r="C12" s="11" t="s">
        <v>914</v>
      </c>
      <c r="D12" s="11" t="s">
        <v>1929</v>
      </c>
      <c r="E12" s="11" t="s">
        <v>1930</v>
      </c>
      <c r="F12" s="11" t="s">
        <v>1931</v>
      </c>
      <c r="G12" s="11" t="s">
        <v>1410</v>
      </c>
      <c r="H12" s="16">
        <v>1.25</v>
      </c>
      <c r="I12" s="11" t="s">
        <v>293</v>
      </c>
      <c r="J12" s="11" t="s">
        <v>1932</v>
      </c>
      <c r="K12" s="11" t="s">
        <v>1933</v>
      </c>
      <c r="L12" s="11" t="s">
        <v>1934</v>
      </c>
      <c r="M12" s="11" t="s">
        <v>1936</v>
      </c>
      <c r="N12" s="11" t="s">
        <v>1939</v>
      </c>
      <c r="O12" s="11" t="s">
        <v>711</v>
      </c>
      <c r="P12" s="29" t="s">
        <v>1940</v>
      </c>
    </row>
    <row r="13" spans="1:16" ht="110.4">
      <c r="A13" s="11" t="s">
        <v>1941</v>
      </c>
      <c r="B13" s="11">
        <v>4</v>
      </c>
      <c r="C13" s="11" t="s">
        <v>914</v>
      </c>
      <c r="D13" s="11" t="s">
        <v>1942</v>
      </c>
      <c r="E13" s="11" t="s">
        <v>1943</v>
      </c>
      <c r="F13" s="11" t="s">
        <v>1944</v>
      </c>
      <c r="G13" s="11" t="s">
        <v>1410</v>
      </c>
      <c r="H13" s="16">
        <v>1.25</v>
      </c>
      <c r="I13" s="11" t="s">
        <v>293</v>
      </c>
      <c r="J13" s="11" t="s">
        <v>1945</v>
      </c>
      <c r="K13" s="11" t="s">
        <v>1946</v>
      </c>
      <c r="L13" s="11" t="s">
        <v>1947</v>
      </c>
      <c r="M13" s="11" t="s">
        <v>1949</v>
      </c>
      <c r="N13" s="11" t="s">
        <v>1951</v>
      </c>
      <c r="O13" s="11" t="s">
        <v>711</v>
      </c>
      <c r="P13" s="29" t="s">
        <v>1952</v>
      </c>
    </row>
    <row r="14" spans="1:16" ht="110.4">
      <c r="A14" s="11" t="s">
        <v>1953</v>
      </c>
      <c r="B14" s="11">
        <v>5</v>
      </c>
      <c r="C14" s="11" t="s">
        <v>914</v>
      </c>
      <c r="D14" s="11" t="s">
        <v>1954</v>
      </c>
      <c r="E14" s="11" t="s">
        <v>1955</v>
      </c>
      <c r="F14" s="11" t="s">
        <v>1956</v>
      </c>
      <c r="G14" s="11" t="s">
        <v>1410</v>
      </c>
      <c r="H14" s="16">
        <v>1.5</v>
      </c>
      <c r="I14" s="11" t="s">
        <v>293</v>
      </c>
      <c r="J14" s="11" t="s">
        <v>1957</v>
      </c>
      <c r="K14" s="11" t="s">
        <v>1958</v>
      </c>
      <c r="L14" s="11" t="s">
        <v>1959</v>
      </c>
      <c r="M14" s="11" t="s">
        <v>1961</v>
      </c>
      <c r="N14" s="11" t="s">
        <v>1964</v>
      </c>
      <c r="O14" s="11" t="s">
        <v>711</v>
      </c>
      <c r="P14" s="29" t="s">
        <v>1965</v>
      </c>
    </row>
    <row r="15" spans="1:16" ht="110.4">
      <c r="A15" s="11" t="s">
        <v>307</v>
      </c>
      <c r="B15" s="11">
        <v>6</v>
      </c>
      <c r="C15" s="11" t="s">
        <v>914</v>
      </c>
      <c r="D15" s="11" t="s">
        <v>1966</v>
      </c>
      <c r="E15" s="11" t="s">
        <v>1967</v>
      </c>
      <c r="F15" s="11" t="s">
        <v>1968</v>
      </c>
      <c r="G15" s="11" t="s">
        <v>1410</v>
      </c>
      <c r="H15" s="16">
        <v>1</v>
      </c>
      <c r="I15" s="11" t="s">
        <v>303</v>
      </c>
      <c r="J15" s="11" t="s">
        <v>1969</v>
      </c>
      <c r="K15" s="11" t="s">
        <v>1970</v>
      </c>
      <c r="L15" s="11" t="s">
        <v>1971</v>
      </c>
      <c r="M15" s="11" t="s">
        <v>1973</v>
      </c>
      <c r="N15" s="11" t="s">
        <v>1976</v>
      </c>
      <c r="O15" s="11" t="s">
        <v>711</v>
      </c>
      <c r="P15" s="29" t="s">
        <v>1977</v>
      </c>
    </row>
    <row r="16" spans="1:16" ht="124.2">
      <c r="A16" s="11" t="s">
        <v>1978</v>
      </c>
      <c r="B16" s="11">
        <v>7</v>
      </c>
      <c r="C16" s="11" t="s">
        <v>914</v>
      </c>
      <c r="D16" s="11" t="s">
        <v>739</v>
      </c>
      <c r="E16" s="11" t="s">
        <v>1979</v>
      </c>
      <c r="F16" s="11" t="s">
        <v>1980</v>
      </c>
      <c r="G16" s="11" t="s">
        <v>1410</v>
      </c>
      <c r="H16" s="16">
        <v>1.5</v>
      </c>
      <c r="I16" s="11" t="s">
        <v>298</v>
      </c>
      <c r="J16" s="11" t="s">
        <v>738</v>
      </c>
      <c r="K16" s="11" t="s">
        <v>1981</v>
      </c>
      <c r="L16" s="11" t="s">
        <v>1982</v>
      </c>
      <c r="M16" s="11" t="s">
        <v>1984</v>
      </c>
      <c r="N16" s="11" t="s">
        <v>1986</v>
      </c>
      <c r="O16" s="11" t="s">
        <v>711</v>
      </c>
      <c r="P16" s="29" t="s">
        <v>1987</v>
      </c>
    </row>
    <row r="17" spans="1:16" ht="110.4">
      <c r="A17" s="11" t="s">
        <v>1988</v>
      </c>
      <c r="B17" s="11">
        <v>8</v>
      </c>
      <c r="C17" s="11" t="s">
        <v>914</v>
      </c>
      <c r="D17" s="11" t="s">
        <v>490</v>
      </c>
      <c r="E17" s="11" t="s">
        <v>1989</v>
      </c>
      <c r="F17" s="11" t="s">
        <v>1990</v>
      </c>
      <c r="G17" s="11" t="s">
        <v>1410</v>
      </c>
      <c r="H17" s="16">
        <v>1</v>
      </c>
      <c r="I17" s="11" t="s">
        <v>298</v>
      </c>
      <c r="J17" s="11" t="s">
        <v>1394</v>
      </c>
      <c r="K17" s="11" t="s">
        <v>1991</v>
      </c>
      <c r="L17" s="11" t="s">
        <v>1992</v>
      </c>
      <c r="M17" s="11" t="s">
        <v>1994</v>
      </c>
      <c r="N17" s="11" t="s">
        <v>1995</v>
      </c>
      <c r="O17" s="11" t="s">
        <v>711</v>
      </c>
      <c r="P17" s="29" t="s">
        <v>1996</v>
      </c>
    </row>
    <row r="18" spans="1:16" ht="110.4">
      <c r="A18" s="11" t="s">
        <v>1997</v>
      </c>
      <c r="B18" s="11">
        <v>9</v>
      </c>
      <c r="C18" s="11" t="s">
        <v>914</v>
      </c>
      <c r="D18" s="11" t="s">
        <v>1998</v>
      </c>
      <c r="E18" s="11" t="s">
        <v>1999</v>
      </c>
      <c r="F18" s="11" t="s">
        <v>2000</v>
      </c>
      <c r="G18" s="11" t="s">
        <v>1400</v>
      </c>
      <c r="H18" s="16">
        <v>1</v>
      </c>
      <c r="I18" s="11" t="s">
        <v>308</v>
      </c>
      <c r="J18" s="11" t="s">
        <v>768</v>
      </c>
      <c r="K18" s="11" t="s">
        <v>2001</v>
      </c>
      <c r="L18" s="11" t="s">
        <v>486</v>
      </c>
      <c r="M18" s="11" t="s">
        <v>488</v>
      </c>
      <c r="N18" s="11" t="s">
        <v>2004</v>
      </c>
      <c r="O18" s="11" t="s">
        <v>711</v>
      </c>
      <c r="P18" s="29" t="s">
        <v>2005</v>
      </c>
    </row>
    <row r="19" spans="1:16" ht="124.2">
      <c r="A19" s="11" t="s">
        <v>2006</v>
      </c>
      <c r="B19" s="11">
        <v>10</v>
      </c>
      <c r="C19" s="11" t="s">
        <v>914</v>
      </c>
      <c r="D19" s="11" t="s">
        <v>2007</v>
      </c>
      <c r="E19" s="11" t="s">
        <v>2008</v>
      </c>
      <c r="F19" s="11" t="s">
        <v>2009</v>
      </c>
      <c r="G19" s="11" t="s">
        <v>577</v>
      </c>
      <c r="H19" s="16">
        <v>1.5</v>
      </c>
      <c r="I19" s="11" t="s">
        <v>308</v>
      </c>
      <c r="J19" s="11" t="s">
        <v>781</v>
      </c>
      <c r="K19" s="11" t="s">
        <v>2010</v>
      </c>
      <c r="L19" s="11" t="s">
        <v>2011</v>
      </c>
      <c r="M19" s="11" t="s">
        <v>2013</v>
      </c>
      <c r="N19" s="11" t="s">
        <v>2014</v>
      </c>
      <c r="O19" s="11" t="s">
        <v>711</v>
      </c>
      <c r="P19" s="29" t="s">
        <v>2015</v>
      </c>
    </row>
    <row r="20" spans="1:16" ht="110.4">
      <c r="A20" s="11" t="s">
        <v>2016</v>
      </c>
      <c r="B20" s="11">
        <v>11</v>
      </c>
      <c r="C20" s="11" t="s">
        <v>914</v>
      </c>
      <c r="D20" s="11" t="s">
        <v>2017</v>
      </c>
      <c r="E20" s="11" t="s">
        <v>2018</v>
      </c>
      <c r="F20" s="11" t="s">
        <v>2019</v>
      </c>
      <c r="G20" s="11" t="s">
        <v>1400</v>
      </c>
      <c r="H20" s="16">
        <v>0.75</v>
      </c>
      <c r="I20" s="11" t="s">
        <v>308</v>
      </c>
      <c r="J20" s="11" t="s">
        <v>781</v>
      </c>
      <c r="K20" s="11" t="s">
        <v>2020</v>
      </c>
      <c r="L20" s="11" t="s">
        <v>2021</v>
      </c>
      <c r="M20" s="11" t="s">
        <v>2023</v>
      </c>
      <c r="N20" s="11" t="s">
        <v>2025</v>
      </c>
      <c r="O20" s="11" t="s">
        <v>711</v>
      </c>
      <c r="P20" s="29" t="s">
        <v>2026</v>
      </c>
    </row>
    <row r="21" spans="1:16" ht="124.2">
      <c r="A21" s="11" t="s">
        <v>2027</v>
      </c>
      <c r="B21" s="11">
        <v>12</v>
      </c>
      <c r="C21" s="11" t="s">
        <v>914</v>
      </c>
      <c r="D21" s="11" t="s">
        <v>2028</v>
      </c>
      <c r="E21" s="11" t="s">
        <v>2029</v>
      </c>
      <c r="F21" s="11" t="s">
        <v>2030</v>
      </c>
      <c r="G21" s="11" t="s">
        <v>1400</v>
      </c>
      <c r="H21" s="16">
        <v>1</v>
      </c>
      <c r="I21" s="11" t="s">
        <v>308</v>
      </c>
      <c r="J21" s="11" t="s">
        <v>1493</v>
      </c>
      <c r="K21" s="11" t="s">
        <v>2031</v>
      </c>
      <c r="L21" s="11" t="s">
        <v>2032</v>
      </c>
      <c r="M21" s="11" t="s">
        <v>505</v>
      </c>
      <c r="N21" s="11" t="s">
        <v>2034</v>
      </c>
      <c r="O21" s="11" t="s">
        <v>711</v>
      </c>
      <c r="P21" s="29" t="s">
        <v>2035</v>
      </c>
    </row>
    <row r="22" spans="1:16" ht="110.4">
      <c r="A22" s="11" t="s">
        <v>2036</v>
      </c>
      <c r="B22" s="11">
        <v>13</v>
      </c>
      <c r="C22" s="11" t="s">
        <v>914</v>
      </c>
      <c r="D22" s="11" t="s">
        <v>1500</v>
      </c>
      <c r="E22" s="11" t="s">
        <v>2037</v>
      </c>
      <c r="F22" s="11" t="s">
        <v>2038</v>
      </c>
      <c r="G22" s="11" t="s">
        <v>577</v>
      </c>
      <c r="H22" s="16">
        <v>0.75</v>
      </c>
      <c r="I22" s="11" t="s">
        <v>328</v>
      </c>
      <c r="J22" s="11" t="s">
        <v>2039</v>
      </c>
      <c r="K22" s="11" t="s">
        <v>2040</v>
      </c>
      <c r="L22" s="11" t="s">
        <v>2041</v>
      </c>
      <c r="M22" s="11" t="s">
        <v>2043</v>
      </c>
      <c r="N22" s="11" t="s">
        <v>2045</v>
      </c>
      <c r="O22" s="11" t="s">
        <v>711</v>
      </c>
      <c r="P22" s="29" t="s">
        <v>2046</v>
      </c>
    </row>
    <row r="23" spans="1:16" ht="24" customHeight="1">
      <c r="A23" s="24" t="s">
        <v>2047</v>
      </c>
      <c r="B23" s="24">
        <v>14</v>
      </c>
      <c r="C23" s="24" t="s">
        <v>914</v>
      </c>
      <c r="D23" s="24" t="s">
        <v>1513</v>
      </c>
      <c r="E23" s="24" t="s">
        <v>2048</v>
      </c>
      <c r="F23" s="24" t="s">
        <v>2049</v>
      </c>
      <c r="G23" s="24" t="s">
        <v>1400</v>
      </c>
      <c r="H23">
        <v>1</v>
      </c>
      <c r="I23" t="s">
        <v>1516</v>
      </c>
      <c r="J23" t="s">
        <v>1394</v>
      </c>
      <c r="K23" t="s">
        <v>2050</v>
      </c>
      <c r="L23" t="s">
        <v>1518</v>
      </c>
      <c r="M23" t="s">
        <v>2051</v>
      </c>
      <c r="N23" t="s">
        <v>1522</v>
      </c>
      <c r="O23" t="s">
        <v>711</v>
      </c>
      <c r="P23" s="29" t="s">
        <v>2054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288</v>
      </c>
      <c r="C27" s="34" t="s">
        <v>289</v>
      </c>
      <c r="D27" s="34" t="s">
        <v>290</v>
      </c>
      <c r="E27" s="34" t="s">
        <v>291</v>
      </c>
      <c r="F27" s="34" t="s">
        <v>2244</v>
      </c>
      <c r="G27" s="34" t="s">
        <v>2205</v>
      </c>
    </row>
    <row r="28" spans="1:16" ht="52.05" customHeight="1">
      <c r="A28" s="22">
        <v>2</v>
      </c>
      <c r="B28" s="22" t="s">
        <v>293</v>
      </c>
      <c r="C28" s="22" t="s">
        <v>294</v>
      </c>
      <c r="D28" s="22" t="s">
        <v>295</v>
      </c>
      <c r="E28" s="22" t="s">
        <v>296</v>
      </c>
      <c r="F28" s="22" t="s">
        <v>2245</v>
      </c>
      <c r="G28" s="22" t="s">
        <v>2208</v>
      </c>
    </row>
    <row r="29" spans="1:16" ht="52.05" customHeight="1">
      <c r="A29" s="34">
        <v>3</v>
      </c>
      <c r="B29" s="34" t="s">
        <v>298</v>
      </c>
      <c r="C29" s="34" t="s">
        <v>299</v>
      </c>
      <c r="D29" s="34" t="s">
        <v>300</v>
      </c>
      <c r="E29" s="34" t="s">
        <v>301</v>
      </c>
      <c r="F29" s="34" t="s">
        <v>2246</v>
      </c>
      <c r="G29" s="34" t="s">
        <v>2208</v>
      </c>
    </row>
    <row r="30" spans="1:16" ht="52.05" customHeight="1">
      <c r="A30" s="22">
        <v>4</v>
      </c>
      <c r="B30" s="22" t="s">
        <v>303</v>
      </c>
      <c r="C30" s="22" t="s">
        <v>304</v>
      </c>
      <c r="D30" s="22" t="s">
        <v>305</v>
      </c>
      <c r="E30" s="22" t="s">
        <v>306</v>
      </c>
      <c r="F30" s="22" t="s">
        <v>2247</v>
      </c>
      <c r="G30" s="22" t="s">
        <v>2208</v>
      </c>
    </row>
    <row r="31" spans="1:16" ht="52.05" customHeight="1">
      <c r="A31" s="35">
        <v>5</v>
      </c>
      <c r="B31" s="35" t="s">
        <v>308</v>
      </c>
      <c r="C31" s="35" t="s">
        <v>309</v>
      </c>
      <c r="D31" s="35" t="s">
        <v>310</v>
      </c>
      <c r="E31" s="35" t="s">
        <v>311</v>
      </c>
      <c r="F31" s="35" t="s">
        <v>2248</v>
      </c>
      <c r="G31" s="35" t="s">
        <v>2208</v>
      </c>
    </row>
    <row r="32" spans="1:16" ht="52.05" customHeight="1">
      <c r="A32" s="35">
        <v>6</v>
      </c>
      <c r="B32" s="35" t="s">
        <v>328</v>
      </c>
      <c r="C32" s="35" t="s">
        <v>330</v>
      </c>
      <c r="D32" s="35" t="s">
        <v>2212</v>
      </c>
      <c r="E32" s="35" t="s">
        <v>332</v>
      </c>
      <c r="F32" s="35" t="s">
        <v>2213</v>
      </c>
      <c r="G32" s="35" t="s">
        <v>2205</v>
      </c>
    </row>
    <row r="33" spans="1:7" ht="52.05" customHeight="1">
      <c r="A33" s="35">
        <v>7</v>
      </c>
      <c r="B33" s="35" t="s">
        <v>1516</v>
      </c>
      <c r="C33" s="35" t="s">
        <v>2249</v>
      </c>
      <c r="D33" s="35" t="s">
        <v>2215</v>
      </c>
      <c r="E33" s="35" t="s">
        <v>2216</v>
      </c>
      <c r="F33" s="35" t="s">
        <v>2250</v>
      </c>
      <c r="G33"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42" priority="1" operator="containsText" text="Done"/>
    <cfRule type="containsText" dxfId="41" priority="2" operator="containsText" text="Blocked"/>
    <cfRule type="containsText" dxfId="40" priority="3" operator="containsText" text="In Progress"/>
    <cfRule type="containsText" dxfId="39"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50</v>
      </c>
      <c r="B1" s="51"/>
      <c r="C1" s="51"/>
      <c r="D1" s="51"/>
      <c r="E1" s="51"/>
      <c r="F1" s="51"/>
      <c r="G1" s="51"/>
      <c r="H1" s="51"/>
      <c r="I1" s="51"/>
      <c r="J1" s="51"/>
      <c r="K1" s="51"/>
      <c r="L1" s="51"/>
      <c r="M1" s="51"/>
      <c r="N1" s="51"/>
      <c r="O1" s="51"/>
    </row>
    <row r="2" spans="1:16" ht="31.95" customHeight="1">
      <c r="A2" s="52" t="s">
        <v>51</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52</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2055</v>
      </c>
      <c r="B10" s="10">
        <v>1</v>
      </c>
      <c r="C10" s="10" t="s">
        <v>914</v>
      </c>
      <c r="D10" s="10" t="s">
        <v>2056</v>
      </c>
      <c r="E10" s="10" t="s">
        <v>2057</v>
      </c>
      <c r="F10" s="10" t="s">
        <v>2058</v>
      </c>
      <c r="G10" s="10" t="s">
        <v>1400</v>
      </c>
      <c r="H10" s="15">
        <v>0.75</v>
      </c>
      <c r="I10" s="10" t="s">
        <v>298</v>
      </c>
      <c r="J10" s="10" t="s">
        <v>772</v>
      </c>
      <c r="K10" s="10" t="s">
        <v>2059</v>
      </c>
      <c r="L10" s="10" t="s">
        <v>2060</v>
      </c>
      <c r="M10" s="10" t="s">
        <v>2062</v>
      </c>
      <c r="N10" s="10" t="s">
        <v>2064</v>
      </c>
      <c r="O10" s="10" t="s">
        <v>711</v>
      </c>
      <c r="P10" s="29" t="s">
        <v>2065</v>
      </c>
    </row>
    <row r="11" spans="1:16" ht="124.2">
      <c r="A11" s="11" t="s">
        <v>2066</v>
      </c>
      <c r="B11" s="11">
        <v>2</v>
      </c>
      <c r="C11" s="11" t="s">
        <v>914</v>
      </c>
      <c r="D11" s="11" t="s">
        <v>507</v>
      </c>
      <c r="E11" s="11" t="s">
        <v>2067</v>
      </c>
      <c r="F11" s="11" t="s">
        <v>2068</v>
      </c>
      <c r="G11" s="11" t="s">
        <v>1410</v>
      </c>
      <c r="H11" s="16">
        <v>1.5</v>
      </c>
      <c r="I11" s="11" t="s">
        <v>313</v>
      </c>
      <c r="J11" s="11" t="s">
        <v>772</v>
      </c>
      <c r="K11" s="11" t="s">
        <v>2069</v>
      </c>
      <c r="L11" s="11" t="s">
        <v>509</v>
      </c>
      <c r="M11" s="11" t="s">
        <v>2071</v>
      </c>
      <c r="N11" s="11" t="s">
        <v>2072</v>
      </c>
      <c r="O11" s="11" t="s">
        <v>711</v>
      </c>
      <c r="P11" s="29" t="s">
        <v>2073</v>
      </c>
    </row>
    <row r="12" spans="1:16" ht="110.4">
      <c r="A12" s="11" t="s">
        <v>2074</v>
      </c>
      <c r="B12" s="11">
        <v>3</v>
      </c>
      <c r="C12" s="11" t="s">
        <v>914</v>
      </c>
      <c r="D12" s="11" t="s">
        <v>2075</v>
      </c>
      <c r="E12" s="11" t="s">
        <v>2076</v>
      </c>
      <c r="F12" s="11" t="s">
        <v>2077</v>
      </c>
      <c r="G12" s="11" t="s">
        <v>1410</v>
      </c>
      <c r="H12" s="16">
        <v>1</v>
      </c>
      <c r="I12" s="11" t="s">
        <v>313</v>
      </c>
      <c r="J12" s="11" t="s">
        <v>2078</v>
      </c>
      <c r="K12" s="11" t="s">
        <v>2079</v>
      </c>
      <c r="L12" s="11" t="s">
        <v>2080</v>
      </c>
      <c r="M12" s="11" t="s">
        <v>2082</v>
      </c>
      <c r="N12" s="11" t="s">
        <v>2084</v>
      </c>
      <c r="O12" s="11" t="s">
        <v>711</v>
      </c>
      <c r="P12" s="29" t="s">
        <v>2085</v>
      </c>
    </row>
    <row r="13" spans="1:16" ht="110.4">
      <c r="A13" s="11" t="s">
        <v>2086</v>
      </c>
      <c r="B13" s="11">
        <v>4</v>
      </c>
      <c r="C13" s="11" t="s">
        <v>914</v>
      </c>
      <c r="D13" s="11" t="s">
        <v>2087</v>
      </c>
      <c r="E13" s="11" t="s">
        <v>2088</v>
      </c>
      <c r="F13" s="11" t="s">
        <v>2089</v>
      </c>
      <c r="G13" s="11" t="s">
        <v>1410</v>
      </c>
      <c r="H13" s="16">
        <v>1</v>
      </c>
      <c r="I13" s="11" t="s">
        <v>313</v>
      </c>
      <c r="J13" s="11" t="s">
        <v>2090</v>
      </c>
      <c r="K13" s="11" t="s">
        <v>2091</v>
      </c>
      <c r="L13" s="11" t="s">
        <v>2092</v>
      </c>
      <c r="M13" s="11" t="s">
        <v>2094</v>
      </c>
      <c r="N13" s="11" t="s">
        <v>2096</v>
      </c>
      <c r="O13" s="11" t="s">
        <v>711</v>
      </c>
      <c r="P13" s="29" t="s">
        <v>2097</v>
      </c>
    </row>
    <row r="14" spans="1:16" ht="110.4">
      <c r="A14" s="11" t="s">
        <v>2098</v>
      </c>
      <c r="B14" s="11">
        <v>5</v>
      </c>
      <c r="C14" s="11" t="s">
        <v>914</v>
      </c>
      <c r="D14" s="11" t="s">
        <v>2099</v>
      </c>
      <c r="E14" s="11" t="s">
        <v>2100</v>
      </c>
      <c r="F14" s="11" t="s">
        <v>2101</v>
      </c>
      <c r="G14" s="11" t="s">
        <v>1410</v>
      </c>
      <c r="H14" s="16">
        <v>1</v>
      </c>
      <c r="I14" s="11" t="s">
        <v>313</v>
      </c>
      <c r="J14" s="11" t="s">
        <v>765</v>
      </c>
      <c r="K14" s="11" t="s">
        <v>2102</v>
      </c>
      <c r="L14" s="11" t="s">
        <v>509</v>
      </c>
      <c r="M14" s="11" t="s">
        <v>2104</v>
      </c>
      <c r="N14" s="11" t="s">
        <v>2105</v>
      </c>
      <c r="O14" s="11" t="s">
        <v>711</v>
      </c>
      <c r="P14" s="29" t="s">
        <v>2106</v>
      </c>
    </row>
    <row r="15" spans="1:16" ht="124.2">
      <c r="A15" s="11" t="s">
        <v>2107</v>
      </c>
      <c r="B15" s="11">
        <v>6</v>
      </c>
      <c r="C15" s="11" t="s">
        <v>914</v>
      </c>
      <c r="D15" s="11" t="s">
        <v>2108</v>
      </c>
      <c r="E15" s="11" t="s">
        <v>2109</v>
      </c>
      <c r="F15" s="11" t="s">
        <v>2110</v>
      </c>
      <c r="G15" s="11" t="s">
        <v>1410</v>
      </c>
      <c r="H15" s="16">
        <v>1.25</v>
      </c>
      <c r="I15" s="11" t="s">
        <v>318</v>
      </c>
      <c r="J15" s="11" t="s">
        <v>761</v>
      </c>
      <c r="K15" s="11" t="s">
        <v>2111</v>
      </c>
      <c r="L15" s="11" t="s">
        <v>1852</v>
      </c>
      <c r="M15" s="11" t="s">
        <v>2113</v>
      </c>
      <c r="N15" s="11" t="s">
        <v>2115</v>
      </c>
      <c r="O15" s="11" t="s">
        <v>711</v>
      </c>
      <c r="P15" s="29" t="s">
        <v>2116</v>
      </c>
    </row>
    <row r="16" spans="1:16" ht="110.4">
      <c r="A16" s="11" t="s">
        <v>2117</v>
      </c>
      <c r="B16" s="11">
        <v>7</v>
      </c>
      <c r="C16" s="11" t="s">
        <v>914</v>
      </c>
      <c r="D16" s="11" t="s">
        <v>2118</v>
      </c>
      <c r="E16" s="11" t="s">
        <v>2119</v>
      </c>
      <c r="F16" s="11" t="s">
        <v>2120</v>
      </c>
      <c r="G16" s="11" t="s">
        <v>1400</v>
      </c>
      <c r="H16" s="16">
        <v>1</v>
      </c>
      <c r="I16" s="11" t="s">
        <v>318</v>
      </c>
      <c r="J16" s="11" t="s">
        <v>2121</v>
      </c>
      <c r="K16" s="11" t="s">
        <v>2122</v>
      </c>
      <c r="L16" s="11" t="s">
        <v>520</v>
      </c>
      <c r="M16" s="11" t="s">
        <v>767</v>
      </c>
      <c r="N16" s="11" t="s">
        <v>2124</v>
      </c>
      <c r="O16" s="11" t="s">
        <v>711</v>
      </c>
      <c r="P16" s="29" t="s">
        <v>2125</v>
      </c>
    </row>
    <row r="17" spans="1:16" ht="110.4">
      <c r="A17" s="11" t="s">
        <v>2126</v>
      </c>
      <c r="B17" s="11">
        <v>8</v>
      </c>
      <c r="C17" s="11" t="s">
        <v>914</v>
      </c>
      <c r="D17" s="11" t="s">
        <v>2127</v>
      </c>
      <c r="E17" s="11" t="s">
        <v>2128</v>
      </c>
      <c r="F17" s="11" t="s">
        <v>2129</v>
      </c>
      <c r="G17" s="11" t="s">
        <v>2130</v>
      </c>
      <c r="H17" s="16">
        <v>1</v>
      </c>
      <c r="I17" s="11" t="s">
        <v>318</v>
      </c>
      <c r="J17" s="11" t="s">
        <v>761</v>
      </c>
      <c r="K17" s="11" t="s">
        <v>2131</v>
      </c>
      <c r="L17" s="11" t="s">
        <v>2132</v>
      </c>
      <c r="M17" s="11" t="s">
        <v>2134</v>
      </c>
      <c r="N17" s="11" t="s">
        <v>2137</v>
      </c>
      <c r="O17" s="11" t="s">
        <v>711</v>
      </c>
      <c r="P17" s="29" t="s">
        <v>2138</v>
      </c>
    </row>
    <row r="18" spans="1:16" ht="110.4">
      <c r="A18" s="11" t="s">
        <v>2139</v>
      </c>
      <c r="B18" s="11">
        <v>9</v>
      </c>
      <c r="C18" s="11" t="s">
        <v>914</v>
      </c>
      <c r="D18" s="11" t="s">
        <v>2140</v>
      </c>
      <c r="E18" s="11" t="s">
        <v>2141</v>
      </c>
      <c r="F18" s="11" t="s">
        <v>2142</v>
      </c>
      <c r="G18" s="11" t="s">
        <v>1400</v>
      </c>
      <c r="H18" s="16">
        <v>1</v>
      </c>
      <c r="I18" s="11" t="s">
        <v>318</v>
      </c>
      <c r="J18" s="11" t="s">
        <v>778</v>
      </c>
      <c r="K18" s="11" t="s">
        <v>2143</v>
      </c>
      <c r="L18" s="11" t="s">
        <v>526</v>
      </c>
      <c r="M18" s="11" t="s">
        <v>2145</v>
      </c>
      <c r="N18" s="11" t="s">
        <v>2147</v>
      </c>
      <c r="O18" s="11" t="s">
        <v>711</v>
      </c>
      <c r="P18" s="29" t="s">
        <v>2148</v>
      </c>
    </row>
    <row r="19" spans="1:16" ht="124.2">
      <c r="A19" s="11" t="s">
        <v>2149</v>
      </c>
      <c r="B19" s="11">
        <v>10</v>
      </c>
      <c r="C19" s="11" t="s">
        <v>914</v>
      </c>
      <c r="D19" s="11" t="s">
        <v>2150</v>
      </c>
      <c r="E19" s="11" t="s">
        <v>2151</v>
      </c>
      <c r="F19" s="11" t="s">
        <v>2152</v>
      </c>
      <c r="G19" s="11" t="s">
        <v>1400</v>
      </c>
      <c r="H19" s="16">
        <v>1.25</v>
      </c>
      <c r="I19" s="11" t="s">
        <v>323</v>
      </c>
      <c r="J19" s="11" t="s">
        <v>717</v>
      </c>
      <c r="K19" s="11" t="s">
        <v>2153</v>
      </c>
      <c r="L19" s="11" t="s">
        <v>531</v>
      </c>
      <c r="M19" s="11" t="s">
        <v>533</v>
      </c>
      <c r="N19" s="11" t="s">
        <v>2156</v>
      </c>
      <c r="O19" s="11" t="s">
        <v>711</v>
      </c>
      <c r="P19" s="29" t="s">
        <v>2157</v>
      </c>
    </row>
    <row r="20" spans="1:16" ht="124.2">
      <c r="A20" s="11" t="s">
        <v>2158</v>
      </c>
      <c r="B20" s="11">
        <v>11</v>
      </c>
      <c r="C20" s="11" t="s">
        <v>914</v>
      </c>
      <c r="D20" s="11" t="s">
        <v>2159</v>
      </c>
      <c r="E20" s="11" t="s">
        <v>2160</v>
      </c>
      <c r="F20" s="11" t="s">
        <v>2161</v>
      </c>
      <c r="G20" s="11" t="s">
        <v>577</v>
      </c>
      <c r="H20" s="16">
        <v>0.75</v>
      </c>
      <c r="I20" s="11" t="s">
        <v>323</v>
      </c>
      <c r="J20" s="11" t="s">
        <v>781</v>
      </c>
      <c r="K20" s="11" t="s">
        <v>2162</v>
      </c>
      <c r="L20" s="11" t="s">
        <v>536</v>
      </c>
      <c r="M20" s="11" t="s">
        <v>538</v>
      </c>
      <c r="N20" s="11" t="s">
        <v>2164</v>
      </c>
      <c r="O20" s="11" t="s">
        <v>711</v>
      </c>
      <c r="P20" s="29" t="s">
        <v>2165</v>
      </c>
    </row>
    <row r="21" spans="1:16" ht="110.4">
      <c r="A21" s="11" t="s">
        <v>2166</v>
      </c>
      <c r="B21" s="11">
        <v>12</v>
      </c>
      <c r="C21" s="11" t="s">
        <v>914</v>
      </c>
      <c r="D21" s="11" t="s">
        <v>2167</v>
      </c>
      <c r="E21" s="11" t="s">
        <v>2168</v>
      </c>
      <c r="F21" s="11" t="s">
        <v>2169</v>
      </c>
      <c r="G21" s="11" t="s">
        <v>577</v>
      </c>
      <c r="H21" s="16">
        <v>1.25</v>
      </c>
      <c r="I21" s="11" t="s">
        <v>308</v>
      </c>
      <c r="J21" s="11" t="s">
        <v>1481</v>
      </c>
      <c r="K21" s="11" t="s">
        <v>2170</v>
      </c>
      <c r="L21" s="11" t="s">
        <v>503</v>
      </c>
      <c r="M21" s="11" t="s">
        <v>542</v>
      </c>
      <c r="N21" s="11" t="s">
        <v>2173</v>
      </c>
      <c r="O21" s="11" t="s">
        <v>711</v>
      </c>
      <c r="P21" s="29" t="s">
        <v>2174</v>
      </c>
    </row>
    <row r="22" spans="1:16" ht="124.2">
      <c r="A22" s="11" t="s">
        <v>2175</v>
      </c>
      <c r="B22" s="11">
        <v>13</v>
      </c>
      <c r="C22" s="11" t="s">
        <v>914</v>
      </c>
      <c r="D22" s="11" t="s">
        <v>2176</v>
      </c>
      <c r="E22" s="11" t="s">
        <v>2177</v>
      </c>
      <c r="F22" s="11" t="s">
        <v>2178</v>
      </c>
      <c r="G22" s="11" t="s">
        <v>577</v>
      </c>
      <c r="H22" s="16">
        <v>1</v>
      </c>
      <c r="I22" s="11" t="s">
        <v>323</v>
      </c>
      <c r="J22" s="11" t="s">
        <v>1394</v>
      </c>
      <c r="K22" s="11" t="s">
        <v>2179</v>
      </c>
      <c r="L22" s="11" t="s">
        <v>2180</v>
      </c>
      <c r="M22" s="11" t="s">
        <v>2182</v>
      </c>
      <c r="N22" s="11" t="s">
        <v>2184</v>
      </c>
      <c r="O22" s="11" t="s">
        <v>711</v>
      </c>
      <c r="P22" s="29" t="s">
        <v>2185</v>
      </c>
    </row>
    <row r="23" spans="1:16" ht="24" customHeight="1">
      <c r="A23" s="24" t="s">
        <v>2186</v>
      </c>
      <c r="B23" s="24">
        <v>14</v>
      </c>
      <c r="C23" s="24" t="s">
        <v>914</v>
      </c>
      <c r="D23" s="24" t="s">
        <v>1513</v>
      </c>
      <c r="E23" s="24" t="s">
        <v>2187</v>
      </c>
      <c r="F23" s="24" t="s">
        <v>2188</v>
      </c>
      <c r="G23" s="24" t="s">
        <v>1400</v>
      </c>
      <c r="H23">
        <v>1.5</v>
      </c>
      <c r="I23" t="s">
        <v>1516</v>
      </c>
      <c r="J23" t="s">
        <v>1394</v>
      </c>
      <c r="K23" t="s">
        <v>2189</v>
      </c>
      <c r="L23" t="s">
        <v>1518</v>
      </c>
      <c r="M23" t="s">
        <v>2191</v>
      </c>
      <c r="N23" t="s">
        <v>1522</v>
      </c>
      <c r="O23" t="s">
        <v>711</v>
      </c>
      <c r="P23" s="29" t="s">
        <v>2194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313</v>
      </c>
      <c r="C27" s="34" t="s">
        <v>314</v>
      </c>
      <c r="D27" s="34" t="s">
        <v>315</v>
      </c>
      <c r="E27" s="34" t="s">
        <v>316</v>
      </c>
      <c r="F27" s="34" t="s">
        <v>2251</v>
      </c>
      <c r="G27" s="34" t="s">
        <v>2208</v>
      </c>
    </row>
    <row r="28" spans="1:16" ht="52.05" customHeight="1">
      <c r="A28" s="35">
        <v>2</v>
      </c>
      <c r="B28" s="35" t="s">
        <v>318</v>
      </c>
      <c r="C28" s="35" t="s">
        <v>319</v>
      </c>
      <c r="D28" s="35" t="s">
        <v>320</v>
      </c>
      <c r="E28" s="35" t="s">
        <v>321</v>
      </c>
      <c r="F28" s="35" t="s">
        <v>2252</v>
      </c>
      <c r="G28" s="35" t="s">
        <v>2208</v>
      </c>
    </row>
    <row r="29" spans="1:16" ht="52.05" customHeight="1">
      <c r="A29" s="35">
        <v>3</v>
      </c>
      <c r="B29" s="35" t="s">
        <v>323</v>
      </c>
      <c r="C29" s="35" t="s">
        <v>324</v>
      </c>
      <c r="D29" s="35" t="s">
        <v>325</v>
      </c>
      <c r="E29" s="35" t="s">
        <v>326</v>
      </c>
      <c r="F29" s="35" t="s">
        <v>2253</v>
      </c>
      <c r="G29" s="35" t="s">
        <v>2208</v>
      </c>
    </row>
    <row r="30" spans="1:16" ht="52.05" customHeight="1">
      <c r="A30" s="35">
        <v>4</v>
      </c>
      <c r="B30" s="35" t="s">
        <v>1516</v>
      </c>
      <c r="C30" s="35" t="s">
        <v>2254</v>
      </c>
      <c r="D30" s="35" t="s">
        <v>2215</v>
      </c>
      <c r="E30" s="35" t="s">
        <v>2216</v>
      </c>
      <c r="F30" s="35" t="s">
        <v>2255</v>
      </c>
      <c r="G30"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38" priority="1" operator="containsText" text="Done"/>
    <cfRule type="containsText" dxfId="37" priority="2" operator="containsText" text="Blocked"/>
    <cfRule type="containsText" dxfId="36" priority="3" operator="containsText" text="In Progress"/>
    <cfRule type="containsText" dxfId="35"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51" t="s">
        <v>53</v>
      </c>
      <c r="B1" s="51"/>
      <c r="C1" s="51"/>
      <c r="D1" s="51"/>
      <c r="E1" s="51"/>
      <c r="F1" s="51"/>
      <c r="G1" s="51"/>
      <c r="H1" s="51"/>
    </row>
    <row r="2" spans="1:8" ht="31.95" customHeight="1">
      <c r="A2" s="52" t="s">
        <v>54</v>
      </c>
      <c r="B2" s="52"/>
      <c r="C2" s="52"/>
      <c r="D2" s="52"/>
      <c r="E2" s="52"/>
      <c r="F2" s="52"/>
      <c r="G2" s="52"/>
      <c r="H2" s="52"/>
    </row>
    <row r="4" spans="1:8" ht="46.05" customHeight="1">
      <c r="A4" s="106" t="s">
        <v>55</v>
      </c>
      <c r="B4" s="107"/>
      <c r="C4" s="107"/>
      <c r="D4" s="107"/>
      <c r="E4" s="107"/>
      <c r="F4" s="107"/>
      <c r="G4" s="107"/>
      <c r="H4" s="108"/>
    </row>
    <row r="6" spans="1:8" ht="28.05" customHeight="1">
      <c r="A6" s="1" t="s">
        <v>56</v>
      </c>
      <c r="B6" s="2" t="s">
        <v>57</v>
      </c>
      <c r="C6" s="2" t="s">
        <v>58</v>
      </c>
      <c r="D6" s="2" t="s">
        <v>59</v>
      </c>
      <c r="E6" s="2" t="s">
        <v>60</v>
      </c>
      <c r="F6" s="2" t="s">
        <v>61</v>
      </c>
      <c r="G6" s="2" t="s">
        <v>62</v>
      </c>
      <c r="H6" s="3" t="s">
        <v>63</v>
      </c>
    </row>
    <row r="7" spans="1:8">
      <c r="A7" s="10" t="s">
        <v>64</v>
      </c>
      <c r="B7" s="10" t="s">
        <v>65</v>
      </c>
      <c r="C7" s="10" t="s">
        <v>66</v>
      </c>
      <c r="D7" s="10" t="s">
        <v>67</v>
      </c>
      <c r="E7" s="10" t="s">
        <v>68</v>
      </c>
      <c r="F7" s="10" t="s">
        <v>69</v>
      </c>
      <c r="G7" s="10" t="s">
        <v>70</v>
      </c>
      <c r="H7" s="10" t="s">
        <v>71</v>
      </c>
    </row>
    <row r="8" spans="1:8" ht="22.8">
      <c r="A8" s="11" t="s">
        <v>64</v>
      </c>
      <c r="B8" s="11" t="s">
        <v>72</v>
      </c>
      <c r="C8" s="11" t="s">
        <v>73</v>
      </c>
      <c r="D8" s="11" t="s">
        <v>74</v>
      </c>
      <c r="E8" s="11" t="s">
        <v>25</v>
      </c>
      <c r="F8" s="11" t="s">
        <v>75</v>
      </c>
      <c r="G8" s="11" t="s">
        <v>76</v>
      </c>
      <c r="H8" s="11" t="s">
        <v>77</v>
      </c>
    </row>
    <row r="9" spans="1:8">
      <c r="A9" s="11" t="s">
        <v>64</v>
      </c>
      <c r="B9" s="11" t="s">
        <v>78</v>
      </c>
      <c r="C9" s="11" t="s">
        <v>79</v>
      </c>
      <c r="D9" s="11" t="s">
        <v>80</v>
      </c>
      <c r="E9" s="11" t="s">
        <v>25</v>
      </c>
      <c r="F9" s="11" t="s">
        <v>81</v>
      </c>
      <c r="G9" s="11" t="s">
        <v>82</v>
      </c>
      <c r="H9" s="11" t="s">
        <v>83</v>
      </c>
    </row>
    <row r="10" spans="1:8" ht="22.8">
      <c r="A10" s="11" t="s">
        <v>64</v>
      </c>
      <c r="B10" s="11" t="s">
        <v>84</v>
      </c>
      <c r="C10" s="11" t="s">
        <v>85</v>
      </c>
      <c r="D10" s="11" t="s">
        <v>86</v>
      </c>
      <c r="E10" s="11" t="s">
        <v>25</v>
      </c>
      <c r="F10" s="11" t="s">
        <v>87</v>
      </c>
      <c r="G10" s="11" t="s">
        <v>88</v>
      </c>
      <c r="H10" s="11" t="s">
        <v>89</v>
      </c>
    </row>
    <row r="11" spans="1:8">
      <c r="A11" s="11" t="s">
        <v>64</v>
      </c>
      <c r="B11" s="11" t="s">
        <v>90</v>
      </c>
      <c r="C11" s="11" t="s">
        <v>91</v>
      </c>
      <c r="D11" s="11" t="s">
        <v>92</v>
      </c>
      <c r="E11" s="11" t="s">
        <v>28</v>
      </c>
      <c r="F11" s="11" t="s">
        <v>87</v>
      </c>
      <c r="G11" s="11" t="s">
        <v>93</v>
      </c>
      <c r="H11" s="11" t="s">
        <v>94</v>
      </c>
    </row>
    <row r="12" spans="1:8">
      <c r="A12" s="11" t="s">
        <v>95</v>
      </c>
      <c r="B12" s="11" t="s">
        <v>96</v>
      </c>
      <c r="C12" s="11" t="s">
        <v>97</v>
      </c>
      <c r="D12" s="11" t="s">
        <v>98</v>
      </c>
      <c r="E12" s="11" t="s">
        <v>27</v>
      </c>
      <c r="F12" s="11" t="s">
        <v>99</v>
      </c>
      <c r="G12" s="11" t="s">
        <v>100</v>
      </c>
      <c r="H12" s="11" t="s">
        <v>101</v>
      </c>
    </row>
    <row r="13" spans="1:8">
      <c r="A13" s="11" t="s">
        <v>95</v>
      </c>
      <c r="B13" s="11" t="s">
        <v>102</v>
      </c>
      <c r="C13" s="11" t="s">
        <v>103</v>
      </c>
      <c r="D13" s="11" t="s">
        <v>104</v>
      </c>
      <c r="E13" s="11" t="s">
        <v>105</v>
      </c>
      <c r="F13" s="11" t="s">
        <v>106</v>
      </c>
      <c r="G13" s="11" t="s">
        <v>107</v>
      </c>
      <c r="H13" s="11" t="s">
        <v>108</v>
      </c>
    </row>
    <row r="14" spans="1:8" ht="22.8">
      <c r="A14" s="11" t="s">
        <v>95</v>
      </c>
      <c r="B14" s="11" t="s">
        <v>109</v>
      </c>
      <c r="C14" s="11" t="s">
        <v>110</v>
      </c>
      <c r="D14" s="11" t="s">
        <v>111</v>
      </c>
      <c r="E14" s="11" t="s">
        <v>112</v>
      </c>
      <c r="F14" s="11" t="s">
        <v>113</v>
      </c>
      <c r="G14" s="11" t="s">
        <v>114</v>
      </c>
      <c r="H14" s="11" t="s">
        <v>115</v>
      </c>
    </row>
    <row r="15" spans="1:8">
      <c r="A15" s="11" t="s">
        <v>95</v>
      </c>
      <c r="B15" s="11" t="s">
        <v>116</v>
      </c>
      <c r="C15" s="11" t="s">
        <v>117</v>
      </c>
      <c r="D15" s="11" t="s">
        <v>118</v>
      </c>
      <c r="E15" s="11" t="s">
        <v>26</v>
      </c>
      <c r="F15" s="11" t="s">
        <v>119</v>
      </c>
      <c r="G15" s="11" t="s">
        <v>120</v>
      </c>
      <c r="H15" s="11" t="s">
        <v>121</v>
      </c>
    </row>
    <row r="16" spans="1:8" ht="22.8">
      <c r="A16" s="11" t="s">
        <v>95</v>
      </c>
      <c r="B16" s="11" t="s">
        <v>122</v>
      </c>
      <c r="C16" s="11" t="s">
        <v>123</v>
      </c>
      <c r="D16" s="11" t="s">
        <v>124</v>
      </c>
      <c r="E16" s="11" t="s">
        <v>26</v>
      </c>
      <c r="F16" s="11" t="s">
        <v>75</v>
      </c>
      <c r="G16" s="11" t="s">
        <v>125</v>
      </c>
      <c r="H16" s="11" t="s">
        <v>126</v>
      </c>
    </row>
    <row r="17" spans="1:8">
      <c r="A17" s="11" t="s">
        <v>127</v>
      </c>
      <c r="B17" s="11" t="s">
        <v>128</v>
      </c>
      <c r="C17" s="11" t="s">
        <v>129</v>
      </c>
      <c r="D17" s="11" t="s">
        <v>130</v>
      </c>
      <c r="E17" s="11" t="s">
        <v>27</v>
      </c>
      <c r="F17" s="11" t="s">
        <v>131</v>
      </c>
      <c r="G17" s="11" t="s">
        <v>132</v>
      </c>
      <c r="H17" s="11" t="s">
        <v>133</v>
      </c>
    </row>
    <row r="18" spans="1:8">
      <c r="A18" s="11" t="s">
        <v>127</v>
      </c>
      <c r="B18" s="11" t="s">
        <v>134</v>
      </c>
      <c r="C18" s="11" t="s">
        <v>135</v>
      </c>
      <c r="D18" s="11" t="s">
        <v>136</v>
      </c>
      <c r="E18" s="11" t="s">
        <v>27</v>
      </c>
      <c r="F18" s="11" t="s">
        <v>137</v>
      </c>
      <c r="G18" s="11" t="s">
        <v>138</v>
      </c>
      <c r="H18" s="11" t="s">
        <v>139</v>
      </c>
    </row>
    <row r="19" spans="1:8">
      <c r="A19" s="11" t="s">
        <v>140</v>
      </c>
      <c r="B19" s="11" t="s">
        <v>141</v>
      </c>
      <c r="C19" s="11" t="s">
        <v>142</v>
      </c>
      <c r="D19" s="11" t="s">
        <v>143</v>
      </c>
      <c r="E19" s="11" t="s">
        <v>29</v>
      </c>
      <c r="F19" s="11" t="s">
        <v>144</v>
      </c>
      <c r="G19" s="11" t="s">
        <v>145</v>
      </c>
      <c r="H19" s="11" t="s">
        <v>146</v>
      </c>
    </row>
    <row r="20" spans="1:8">
      <c r="A20" s="11" t="s">
        <v>147</v>
      </c>
      <c r="B20" s="11" t="s">
        <v>148</v>
      </c>
      <c r="C20" s="11" t="s">
        <v>149</v>
      </c>
      <c r="D20" s="11" t="s">
        <v>150</v>
      </c>
      <c r="E20" s="11" t="s">
        <v>151</v>
      </c>
      <c r="F20" s="11" t="s">
        <v>69</v>
      </c>
      <c r="G20" s="11" t="s">
        <v>152</v>
      </c>
      <c r="H20" s="11" t="s">
        <v>153</v>
      </c>
    </row>
    <row r="21" spans="1:8" ht="22.8">
      <c r="A21" s="11" t="s">
        <v>154</v>
      </c>
      <c r="B21" s="11" t="s">
        <v>155</v>
      </c>
      <c r="C21" s="11" t="s">
        <v>156</v>
      </c>
      <c r="D21" s="11" t="s">
        <v>157</v>
      </c>
      <c r="E21" s="11" t="s">
        <v>158</v>
      </c>
      <c r="F21" s="11" t="s">
        <v>159</v>
      </c>
      <c r="G21" s="11" t="s">
        <v>160</v>
      </c>
      <c r="H21" s="11" t="s">
        <v>161</v>
      </c>
    </row>
    <row r="22" spans="1:8">
      <c r="A22" s="11" t="s">
        <v>162</v>
      </c>
      <c r="B22" s="11" t="s">
        <v>163</v>
      </c>
      <c r="C22" s="11" t="s">
        <v>164</v>
      </c>
      <c r="D22" s="11" t="s">
        <v>165</v>
      </c>
      <c r="E22" s="11" t="s">
        <v>166</v>
      </c>
      <c r="F22" s="11" t="s">
        <v>167</v>
      </c>
      <c r="G22" s="11" t="s">
        <v>168</v>
      </c>
      <c r="H22" s="11" t="s">
        <v>169</v>
      </c>
    </row>
    <row r="23" spans="1:8" ht="22.8">
      <c r="A23" s="11" t="s">
        <v>162</v>
      </c>
      <c r="B23" s="11" t="s">
        <v>170</v>
      </c>
      <c r="C23" s="11" t="s">
        <v>171</v>
      </c>
      <c r="D23" s="11" t="s">
        <v>172</v>
      </c>
      <c r="E23" s="11" t="s">
        <v>29</v>
      </c>
      <c r="F23" s="11" t="s">
        <v>173</v>
      </c>
      <c r="G23" s="11" t="s">
        <v>174</v>
      </c>
      <c r="H23" s="11" t="s">
        <v>175</v>
      </c>
    </row>
    <row r="24" spans="1:8">
      <c r="A24" s="11" t="s">
        <v>176</v>
      </c>
      <c r="B24" s="11" t="s">
        <v>177</v>
      </c>
      <c r="C24" s="11" t="s">
        <v>178</v>
      </c>
      <c r="D24" s="11" t="s">
        <v>179</v>
      </c>
      <c r="E24" s="11" t="s">
        <v>180</v>
      </c>
      <c r="F24" s="11" t="s">
        <v>181</v>
      </c>
      <c r="G24" s="11" t="s">
        <v>182</v>
      </c>
      <c r="H24" s="11" t="s">
        <v>183</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showGridLines="0" tabSelected="1" topLeftCell="E11" workbookViewId="0">
      <selection activeCell="G11" sqref="G11"/>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4" width="71.8984375" style="27" customWidth="1"/>
    <col min="15" max="16384" width="8.796875" style="27"/>
  </cols>
  <sheetData>
    <row r="1" spans="1:14" ht="22.8">
      <c r="A1" s="115" t="s">
        <v>2256</v>
      </c>
      <c r="B1" s="115"/>
      <c r="C1" s="115"/>
      <c r="D1" s="115"/>
      <c r="E1" s="115"/>
      <c r="F1" s="115"/>
      <c r="G1" s="115"/>
      <c r="H1" s="115"/>
      <c r="I1" s="115"/>
      <c r="J1" s="115"/>
      <c r="K1" s="116"/>
      <c r="L1" s="116"/>
      <c r="M1" s="116"/>
    </row>
    <row r="2" spans="1:14">
      <c r="A2" s="117" t="s">
        <v>2257</v>
      </c>
      <c r="B2" s="117"/>
      <c r="C2" s="117"/>
      <c r="D2" s="117"/>
      <c r="E2" s="117"/>
      <c r="F2" s="117"/>
      <c r="G2" s="117"/>
      <c r="H2" s="117"/>
      <c r="I2" s="117"/>
      <c r="J2" s="117"/>
      <c r="K2" s="118"/>
      <c r="L2" s="118"/>
      <c r="M2" s="118"/>
    </row>
    <row r="5" spans="1:14">
      <c r="A5" s="119" t="s">
        <v>184</v>
      </c>
      <c r="B5" s="119" t="s">
        <v>22</v>
      </c>
      <c r="C5" s="119" t="s">
        <v>185</v>
      </c>
      <c r="D5" s="119" t="s">
        <v>186</v>
      </c>
      <c r="E5" s="119" t="s">
        <v>187</v>
      </c>
      <c r="F5" s="119" t="s">
        <v>188</v>
      </c>
      <c r="G5" s="119" t="s">
        <v>189</v>
      </c>
      <c r="H5" s="119" t="s">
        <v>190</v>
      </c>
      <c r="I5" s="119" t="s">
        <v>191</v>
      </c>
      <c r="J5" s="119" t="s">
        <v>192</v>
      </c>
      <c r="K5" s="119" t="s">
        <v>193</v>
      </c>
      <c r="L5" s="119" t="s">
        <v>2258</v>
      </c>
      <c r="M5" s="119" t="s">
        <v>2259</v>
      </c>
      <c r="N5" s="28" t="s">
        <v>2260</v>
      </c>
    </row>
    <row r="6" spans="1:14" ht="171">
      <c r="A6" s="23" t="s">
        <v>194</v>
      </c>
      <c r="B6" s="23" t="s">
        <v>195</v>
      </c>
      <c r="C6" s="23" t="s">
        <v>196</v>
      </c>
      <c r="D6" s="23" t="s">
        <v>2261</v>
      </c>
      <c r="E6" s="23" t="s">
        <v>2262</v>
      </c>
      <c r="F6" s="23" t="s">
        <v>2263</v>
      </c>
      <c r="G6" s="23" t="s">
        <v>2264</v>
      </c>
      <c r="H6" s="23" t="s">
        <v>2265</v>
      </c>
      <c r="I6" s="23" t="s">
        <v>2266</v>
      </c>
      <c r="J6" s="23" t="s">
        <v>2267</v>
      </c>
      <c r="K6" s="23" t="s">
        <v>195</v>
      </c>
      <c r="L6" s="23" t="s">
        <v>2267</v>
      </c>
      <c r="M6" s="23" t="s">
        <v>2267</v>
      </c>
      <c r="N6" s="28" t="s">
        <v>2267</v>
      </c>
    </row>
    <row r="7" spans="1:14" ht="285">
      <c r="A7" s="22" t="s">
        <v>197</v>
      </c>
      <c r="B7" s="22" t="s">
        <v>195</v>
      </c>
      <c r="C7" s="22" t="s">
        <v>198</v>
      </c>
      <c r="D7" s="22" t="s">
        <v>2268</v>
      </c>
      <c r="E7" s="22" t="s">
        <v>2269</v>
      </c>
      <c r="F7" s="22" t="s">
        <v>2270</v>
      </c>
      <c r="G7" s="22" t="s">
        <v>2565</v>
      </c>
      <c r="H7" s="22" t="s">
        <v>2272</v>
      </c>
      <c r="I7" s="22" t="s">
        <v>2273</v>
      </c>
      <c r="J7" s="22" t="s">
        <v>2274</v>
      </c>
      <c r="K7" s="22" t="s">
        <v>199</v>
      </c>
      <c r="L7" s="22" t="s">
        <v>2275</v>
      </c>
      <c r="M7" s="22" t="s">
        <v>2275</v>
      </c>
      <c r="N7" s="28" t="s">
        <v>2275</v>
      </c>
    </row>
    <row r="8" spans="1:14" ht="205.2">
      <c r="A8" s="23" t="s">
        <v>200</v>
      </c>
      <c r="B8" s="23" t="s">
        <v>195</v>
      </c>
      <c r="C8" s="23" t="s">
        <v>2276</v>
      </c>
      <c r="D8" s="23" t="s">
        <v>2277</v>
      </c>
      <c r="E8" s="23" t="s">
        <v>2278</v>
      </c>
      <c r="F8" s="23" t="s">
        <v>2279</v>
      </c>
      <c r="G8" s="23" t="s">
        <v>2280</v>
      </c>
      <c r="H8" s="23" t="s">
        <v>2281</v>
      </c>
      <c r="I8" s="23" t="s">
        <v>2282</v>
      </c>
      <c r="J8" s="23" t="s">
        <v>2283</v>
      </c>
      <c r="K8" s="23" t="s">
        <v>195</v>
      </c>
      <c r="L8" s="23" t="s">
        <v>2284</v>
      </c>
      <c r="M8" s="23" t="s">
        <v>2285</v>
      </c>
      <c r="N8" s="28" t="s">
        <v>2286</v>
      </c>
    </row>
    <row r="9" spans="1:14" ht="409.6">
      <c r="A9" s="22" t="s">
        <v>201</v>
      </c>
      <c r="B9" s="22" t="s">
        <v>10</v>
      </c>
      <c r="C9" s="22" t="s">
        <v>202</v>
      </c>
      <c r="D9" s="22" t="s">
        <v>203</v>
      </c>
      <c r="E9" s="22" t="s">
        <v>204</v>
      </c>
      <c r="F9" s="22" t="s">
        <v>2287</v>
      </c>
      <c r="G9" s="22" t="s">
        <v>2556</v>
      </c>
      <c r="H9" s="22" t="s">
        <v>2205</v>
      </c>
      <c r="I9" s="22" t="s">
        <v>2288</v>
      </c>
      <c r="J9" s="22" t="s">
        <v>2289</v>
      </c>
      <c r="K9" s="22" t="s">
        <v>205</v>
      </c>
      <c r="L9" s="22" t="s">
        <v>2290</v>
      </c>
      <c r="M9" s="22" t="s">
        <v>2291</v>
      </c>
      <c r="N9" s="28" t="s">
        <v>2567</v>
      </c>
    </row>
    <row r="10" spans="1:14" ht="409.6">
      <c r="A10" s="23" t="s">
        <v>206</v>
      </c>
      <c r="B10" s="23" t="s">
        <v>10</v>
      </c>
      <c r="C10" s="23" t="s">
        <v>207</v>
      </c>
      <c r="D10" s="23" t="s">
        <v>208</v>
      </c>
      <c r="E10" s="23" t="s">
        <v>209</v>
      </c>
      <c r="F10" s="23" t="s">
        <v>2287</v>
      </c>
      <c r="G10" s="23" t="s">
        <v>2557</v>
      </c>
      <c r="H10" s="23" t="s">
        <v>2205</v>
      </c>
      <c r="I10" s="23" t="s">
        <v>2293</v>
      </c>
      <c r="J10" s="23" t="s">
        <v>2289</v>
      </c>
      <c r="K10" s="23" t="s">
        <v>210</v>
      </c>
      <c r="L10" s="23" t="s">
        <v>2290</v>
      </c>
      <c r="M10" s="23" t="s">
        <v>2294</v>
      </c>
      <c r="N10" s="28" t="s">
        <v>2568</v>
      </c>
    </row>
    <row r="11" spans="1:14" ht="409.6">
      <c r="A11" s="22" t="s">
        <v>211</v>
      </c>
      <c r="B11" s="22" t="s">
        <v>10</v>
      </c>
      <c r="C11" s="22" t="s">
        <v>212</v>
      </c>
      <c r="D11" s="22" t="s">
        <v>213</v>
      </c>
      <c r="E11" s="22" t="s">
        <v>214</v>
      </c>
      <c r="F11" s="22" t="s">
        <v>2296</v>
      </c>
      <c r="G11" s="22" t="s">
        <v>2558</v>
      </c>
      <c r="H11" s="22" t="s">
        <v>2297</v>
      </c>
      <c r="I11" s="22" t="s">
        <v>2298</v>
      </c>
      <c r="J11" s="22" t="s">
        <v>2299</v>
      </c>
      <c r="K11" s="22" t="s">
        <v>215</v>
      </c>
      <c r="L11" s="22" t="s">
        <v>2300</v>
      </c>
      <c r="M11" s="22" t="s">
        <v>2301</v>
      </c>
      <c r="N11" s="28" t="s">
        <v>2569</v>
      </c>
    </row>
    <row r="12" spans="1:14" ht="409.6">
      <c r="A12" s="23" t="s">
        <v>216</v>
      </c>
      <c r="B12" s="23" t="s">
        <v>10</v>
      </c>
      <c r="C12" s="23" t="s">
        <v>217</v>
      </c>
      <c r="D12" s="23" t="s">
        <v>218</v>
      </c>
      <c r="E12" s="23" t="s">
        <v>219</v>
      </c>
      <c r="F12" s="23" t="s">
        <v>2296</v>
      </c>
      <c r="G12" s="23" t="s">
        <v>2559</v>
      </c>
      <c r="H12" s="23" t="s">
        <v>2297</v>
      </c>
      <c r="I12" s="23" t="s">
        <v>2303</v>
      </c>
      <c r="J12" s="23" t="s">
        <v>2299</v>
      </c>
      <c r="K12" s="23" t="s">
        <v>220</v>
      </c>
      <c r="L12" s="23" t="s">
        <v>2304</v>
      </c>
      <c r="M12" s="23" t="s">
        <v>2305</v>
      </c>
      <c r="N12" s="28" t="s">
        <v>2570</v>
      </c>
    </row>
    <row r="13" spans="1:14" ht="409.6">
      <c r="A13" s="22" t="s">
        <v>221</v>
      </c>
      <c r="B13" s="22" t="s">
        <v>10</v>
      </c>
      <c r="C13" s="22" t="s">
        <v>222</v>
      </c>
      <c r="D13" s="22" t="s">
        <v>223</v>
      </c>
      <c r="E13" s="22" t="s">
        <v>224</v>
      </c>
      <c r="F13" s="22" t="s">
        <v>2296</v>
      </c>
      <c r="G13" s="22" t="s">
        <v>2560</v>
      </c>
      <c r="H13" s="22" t="s">
        <v>2297</v>
      </c>
      <c r="I13" s="22" t="s">
        <v>2307</v>
      </c>
      <c r="J13" s="22" t="s">
        <v>2299</v>
      </c>
      <c r="K13" s="22" t="s">
        <v>225</v>
      </c>
      <c r="L13" s="22" t="s">
        <v>2308</v>
      </c>
      <c r="M13" s="22" t="s">
        <v>2309</v>
      </c>
      <c r="N13" s="28" t="s">
        <v>2571</v>
      </c>
    </row>
    <row r="14" spans="1:14" ht="409.6">
      <c r="A14" s="23" t="s">
        <v>226</v>
      </c>
      <c r="B14" s="23" t="s">
        <v>10</v>
      </c>
      <c r="C14" s="23" t="s">
        <v>227</v>
      </c>
      <c r="D14" s="23" t="s">
        <v>228</v>
      </c>
      <c r="E14" s="23" t="s">
        <v>229</v>
      </c>
      <c r="F14" s="23" t="s">
        <v>2296</v>
      </c>
      <c r="G14" s="23" t="s">
        <v>2561</v>
      </c>
      <c r="H14" s="23" t="s">
        <v>2297</v>
      </c>
      <c r="I14" s="23" t="s">
        <v>2311</v>
      </c>
      <c r="J14" s="23" t="s">
        <v>2299</v>
      </c>
      <c r="K14" s="23" t="s">
        <v>230</v>
      </c>
      <c r="L14" s="23" t="s">
        <v>2312</v>
      </c>
      <c r="M14" s="23" t="s">
        <v>2313</v>
      </c>
      <c r="N14" s="28" t="s">
        <v>2572</v>
      </c>
    </row>
    <row r="15" spans="1:14" ht="409.6">
      <c r="A15" s="22" t="s">
        <v>231</v>
      </c>
      <c r="B15" s="22" t="s">
        <v>25</v>
      </c>
      <c r="C15" s="22" t="s">
        <v>2315</v>
      </c>
      <c r="D15" s="22" t="s">
        <v>2316</v>
      </c>
      <c r="E15" s="22" t="s">
        <v>2317</v>
      </c>
      <c r="F15" s="22" t="s">
        <v>2296</v>
      </c>
      <c r="G15" s="22" t="s">
        <v>2318</v>
      </c>
      <c r="H15" s="22" t="s">
        <v>2297</v>
      </c>
      <c r="I15" s="22" t="s">
        <v>2319</v>
      </c>
      <c r="J15" s="22" t="s">
        <v>2299</v>
      </c>
      <c r="K15" s="22" t="s">
        <v>2320</v>
      </c>
      <c r="L15" s="22" t="s">
        <v>2321</v>
      </c>
      <c r="M15" s="22" t="s">
        <v>2322</v>
      </c>
      <c r="N15" s="28" t="s">
        <v>2573</v>
      </c>
    </row>
    <row r="16" spans="1:14" ht="409.6">
      <c r="A16" s="23" t="s">
        <v>232</v>
      </c>
      <c r="B16" s="23" t="s">
        <v>25</v>
      </c>
      <c r="C16" s="23" t="s">
        <v>233</v>
      </c>
      <c r="D16" s="23" t="s">
        <v>234</v>
      </c>
      <c r="E16" s="23" t="s">
        <v>235</v>
      </c>
      <c r="F16" s="23" t="s">
        <v>2296</v>
      </c>
      <c r="G16" s="23" t="s">
        <v>2324</v>
      </c>
      <c r="H16" s="23" t="s">
        <v>2297</v>
      </c>
      <c r="I16" s="23" t="s">
        <v>2325</v>
      </c>
      <c r="J16" s="23" t="s">
        <v>2299</v>
      </c>
      <c r="K16" s="23" t="s">
        <v>236</v>
      </c>
      <c r="L16" s="23" t="s">
        <v>2326</v>
      </c>
      <c r="M16" s="23" t="s">
        <v>2327</v>
      </c>
      <c r="N16" s="28" t="s">
        <v>2574</v>
      </c>
    </row>
    <row r="17" spans="1:14" ht="409.6">
      <c r="A17" s="22" t="s">
        <v>237</v>
      </c>
      <c r="B17" s="22" t="s">
        <v>25</v>
      </c>
      <c r="C17" s="22" t="s">
        <v>238</v>
      </c>
      <c r="D17" s="22" t="s">
        <v>239</v>
      </c>
      <c r="E17" s="22" t="s">
        <v>240</v>
      </c>
      <c r="F17" s="22" t="s">
        <v>2296</v>
      </c>
      <c r="G17" s="22" t="s">
        <v>2329</v>
      </c>
      <c r="H17" s="22" t="s">
        <v>2297</v>
      </c>
      <c r="I17" s="22" t="s">
        <v>2330</v>
      </c>
      <c r="J17" s="22" t="s">
        <v>2299</v>
      </c>
      <c r="K17" s="22" t="s">
        <v>241</v>
      </c>
      <c r="L17" s="22" t="s">
        <v>2331</v>
      </c>
      <c r="M17" s="22" t="s">
        <v>2332</v>
      </c>
      <c r="N17" s="28" t="s">
        <v>2575</v>
      </c>
    </row>
    <row r="18" spans="1:14" ht="409.6">
      <c r="A18" s="23" t="s">
        <v>242</v>
      </c>
      <c r="B18" s="23" t="s">
        <v>25</v>
      </c>
      <c r="C18" s="23" t="s">
        <v>2334</v>
      </c>
      <c r="D18" s="23" t="s">
        <v>2335</v>
      </c>
      <c r="E18" s="23" t="s">
        <v>2336</v>
      </c>
      <c r="F18" s="23" t="s">
        <v>2296</v>
      </c>
      <c r="G18" s="23" t="s">
        <v>2337</v>
      </c>
      <c r="H18" s="23" t="s">
        <v>2297</v>
      </c>
      <c r="I18" s="23" t="s">
        <v>2338</v>
      </c>
      <c r="J18" s="23" t="s">
        <v>2299</v>
      </c>
      <c r="K18" s="23" t="s">
        <v>2339</v>
      </c>
      <c r="L18" s="23" t="s">
        <v>2340</v>
      </c>
      <c r="M18" s="23" t="s">
        <v>2341</v>
      </c>
      <c r="N18" s="28" t="s">
        <v>2576</v>
      </c>
    </row>
    <row r="19" spans="1:14" ht="409.6">
      <c r="A19" s="22" t="s">
        <v>243</v>
      </c>
      <c r="B19" s="22" t="s">
        <v>25</v>
      </c>
      <c r="C19" s="22" t="s">
        <v>244</v>
      </c>
      <c r="D19" s="22" t="s">
        <v>245</v>
      </c>
      <c r="E19" s="22" t="s">
        <v>246</v>
      </c>
      <c r="F19" s="22" t="s">
        <v>2343</v>
      </c>
      <c r="G19" s="22" t="s">
        <v>2344</v>
      </c>
      <c r="H19" s="22" t="s">
        <v>2345</v>
      </c>
      <c r="I19" s="22" t="s">
        <v>2346</v>
      </c>
      <c r="J19" s="22" t="s">
        <v>2347</v>
      </c>
      <c r="K19" s="22" t="s">
        <v>247</v>
      </c>
      <c r="L19" s="22" t="s">
        <v>2348</v>
      </c>
      <c r="M19" s="22" t="s">
        <v>2349</v>
      </c>
      <c r="N19" s="28" t="s">
        <v>2350</v>
      </c>
    </row>
    <row r="20" spans="1:14" ht="409.6">
      <c r="A20" s="23" t="s">
        <v>248</v>
      </c>
      <c r="B20" s="23" t="s">
        <v>26</v>
      </c>
      <c r="C20" s="23" t="s">
        <v>249</v>
      </c>
      <c r="D20" s="23" t="s">
        <v>250</v>
      </c>
      <c r="E20" s="23" t="s">
        <v>251</v>
      </c>
      <c r="F20" s="23" t="s">
        <v>2296</v>
      </c>
      <c r="G20" s="23" t="s">
        <v>2351</v>
      </c>
      <c r="H20" s="23" t="s">
        <v>2297</v>
      </c>
      <c r="I20" s="23" t="s">
        <v>2352</v>
      </c>
      <c r="J20" s="23" t="s">
        <v>2299</v>
      </c>
      <c r="K20" s="23" t="s">
        <v>252</v>
      </c>
      <c r="L20" s="23" t="s">
        <v>2353</v>
      </c>
      <c r="M20" s="23" t="s">
        <v>2354</v>
      </c>
      <c r="N20" s="28" t="s">
        <v>2577</v>
      </c>
    </row>
    <row r="21" spans="1:14" ht="409.6">
      <c r="A21" s="22" t="s">
        <v>253</v>
      </c>
      <c r="B21" s="22" t="s">
        <v>26</v>
      </c>
      <c r="C21" s="22" t="s">
        <v>254</v>
      </c>
      <c r="D21" s="22" t="s">
        <v>255</v>
      </c>
      <c r="E21" s="22" t="s">
        <v>256</v>
      </c>
      <c r="F21" s="22" t="s">
        <v>2296</v>
      </c>
      <c r="G21" s="22" t="s">
        <v>2562</v>
      </c>
      <c r="H21" s="22" t="s">
        <v>2297</v>
      </c>
      <c r="I21" s="22" t="s">
        <v>2356</v>
      </c>
      <c r="J21" s="22" t="s">
        <v>2299</v>
      </c>
      <c r="K21" s="22" t="s">
        <v>257</v>
      </c>
      <c r="L21" s="22" t="s">
        <v>2357</v>
      </c>
      <c r="M21" s="22" t="s">
        <v>2358</v>
      </c>
      <c r="N21" s="28" t="s">
        <v>2578</v>
      </c>
    </row>
    <row r="22" spans="1:14" ht="409.6">
      <c r="A22" s="23" t="s">
        <v>258</v>
      </c>
      <c r="B22" s="23" t="s">
        <v>26</v>
      </c>
      <c r="C22" s="23" t="s">
        <v>259</v>
      </c>
      <c r="D22" s="23" t="s">
        <v>260</v>
      </c>
      <c r="E22" s="23" t="s">
        <v>261</v>
      </c>
      <c r="F22" s="23" t="s">
        <v>2296</v>
      </c>
      <c r="G22" s="23" t="s">
        <v>2360</v>
      </c>
      <c r="H22" s="23" t="s">
        <v>2297</v>
      </c>
      <c r="I22" s="23" t="s">
        <v>2361</v>
      </c>
      <c r="J22" s="23" t="s">
        <v>2299</v>
      </c>
      <c r="K22" s="23" t="s">
        <v>262</v>
      </c>
      <c r="L22" s="23" t="s">
        <v>2362</v>
      </c>
      <c r="M22" s="23" t="s">
        <v>2363</v>
      </c>
      <c r="N22" s="28" t="s">
        <v>2579</v>
      </c>
    </row>
    <row r="23" spans="1:14" ht="409.6">
      <c r="A23" s="22" t="s">
        <v>263</v>
      </c>
      <c r="B23" s="22" t="s">
        <v>26</v>
      </c>
      <c r="C23" s="22" t="s">
        <v>264</v>
      </c>
      <c r="D23" s="22" t="s">
        <v>265</v>
      </c>
      <c r="E23" s="22" t="s">
        <v>266</v>
      </c>
      <c r="F23" s="22" t="s">
        <v>2296</v>
      </c>
      <c r="G23" s="22" t="s">
        <v>2365</v>
      </c>
      <c r="H23" s="22" t="s">
        <v>2297</v>
      </c>
      <c r="I23" s="22" t="s">
        <v>2366</v>
      </c>
      <c r="J23" s="22" t="s">
        <v>2299</v>
      </c>
      <c r="K23" s="22" t="s">
        <v>267</v>
      </c>
      <c r="L23" s="22" t="s">
        <v>2367</v>
      </c>
      <c r="M23" s="22" t="s">
        <v>2368</v>
      </c>
      <c r="N23" s="28" t="s">
        <v>2580</v>
      </c>
    </row>
    <row r="24" spans="1:14" ht="409.6">
      <c r="A24" s="23" t="s">
        <v>268</v>
      </c>
      <c r="B24" s="23" t="s">
        <v>27</v>
      </c>
      <c r="C24" s="23" t="s">
        <v>269</v>
      </c>
      <c r="D24" s="23" t="s">
        <v>270</v>
      </c>
      <c r="E24" s="23" t="s">
        <v>271</v>
      </c>
      <c r="F24" s="23" t="s">
        <v>2296</v>
      </c>
      <c r="G24" s="23" t="s">
        <v>2370</v>
      </c>
      <c r="H24" s="23" t="s">
        <v>2297</v>
      </c>
      <c r="I24" s="23" t="s">
        <v>2371</v>
      </c>
      <c r="J24" s="23" t="s">
        <v>2299</v>
      </c>
      <c r="K24" s="23" t="s">
        <v>272</v>
      </c>
      <c r="L24" s="23" t="s">
        <v>2372</v>
      </c>
      <c r="M24" s="23" t="s">
        <v>2373</v>
      </c>
      <c r="N24" s="28" t="s">
        <v>2581</v>
      </c>
    </row>
    <row r="25" spans="1:14" ht="409.6">
      <c r="A25" s="22" t="s">
        <v>273</v>
      </c>
      <c r="B25" s="22" t="s">
        <v>27</v>
      </c>
      <c r="C25" s="22" t="s">
        <v>274</v>
      </c>
      <c r="D25" s="22" t="s">
        <v>275</v>
      </c>
      <c r="E25" s="22" t="s">
        <v>276</v>
      </c>
      <c r="F25" s="22" t="s">
        <v>2296</v>
      </c>
      <c r="G25" s="22" t="s">
        <v>2375</v>
      </c>
      <c r="H25" s="22" t="s">
        <v>2297</v>
      </c>
      <c r="I25" s="22" t="s">
        <v>2376</v>
      </c>
      <c r="J25" s="22" t="s">
        <v>2299</v>
      </c>
      <c r="K25" s="22" t="s">
        <v>277</v>
      </c>
      <c r="L25" s="22" t="s">
        <v>2377</v>
      </c>
      <c r="M25" s="22" t="s">
        <v>2378</v>
      </c>
      <c r="N25" s="28" t="s">
        <v>2582</v>
      </c>
    </row>
    <row r="26" spans="1:14" ht="409.6">
      <c r="A26" s="23" t="s">
        <v>278</v>
      </c>
      <c r="B26" s="23" t="s">
        <v>27</v>
      </c>
      <c r="C26" s="23" t="s">
        <v>279</v>
      </c>
      <c r="D26" s="23" t="s">
        <v>280</v>
      </c>
      <c r="E26" s="23" t="s">
        <v>281</v>
      </c>
      <c r="F26" s="23" t="s">
        <v>2296</v>
      </c>
      <c r="G26" s="23" t="s">
        <v>2380</v>
      </c>
      <c r="H26" s="23" t="s">
        <v>2297</v>
      </c>
      <c r="I26" s="23" t="s">
        <v>2381</v>
      </c>
      <c r="J26" s="23" t="s">
        <v>2299</v>
      </c>
      <c r="K26" s="23" t="s">
        <v>282</v>
      </c>
      <c r="L26" s="23" t="s">
        <v>2382</v>
      </c>
      <c r="M26" s="23" t="s">
        <v>2383</v>
      </c>
      <c r="N26" s="28" t="s">
        <v>2583</v>
      </c>
    </row>
    <row r="27" spans="1:14" ht="409.6">
      <c r="A27" s="22" t="s">
        <v>283</v>
      </c>
      <c r="B27" s="22" t="s">
        <v>27</v>
      </c>
      <c r="C27" s="22" t="s">
        <v>284</v>
      </c>
      <c r="D27" s="22" t="s">
        <v>285</v>
      </c>
      <c r="E27" s="22" t="s">
        <v>286</v>
      </c>
      <c r="F27" s="22" t="s">
        <v>2296</v>
      </c>
      <c r="G27" s="22" t="s">
        <v>2385</v>
      </c>
      <c r="H27" s="22" t="s">
        <v>2297</v>
      </c>
      <c r="I27" s="22" t="s">
        <v>2386</v>
      </c>
      <c r="J27" s="22" t="s">
        <v>2299</v>
      </c>
      <c r="K27" s="22" t="s">
        <v>287</v>
      </c>
      <c r="L27" s="22" t="s">
        <v>2387</v>
      </c>
      <c r="M27" s="22" t="s">
        <v>2388</v>
      </c>
      <c r="N27" s="28" t="s">
        <v>2584</v>
      </c>
    </row>
    <row r="28" spans="1:14" ht="409.6">
      <c r="A28" s="23" t="s">
        <v>288</v>
      </c>
      <c r="B28" s="23" t="s">
        <v>28</v>
      </c>
      <c r="C28" s="23" t="s">
        <v>289</v>
      </c>
      <c r="D28" s="23" t="s">
        <v>290</v>
      </c>
      <c r="E28" s="23" t="s">
        <v>291</v>
      </c>
      <c r="F28" s="23" t="s">
        <v>2287</v>
      </c>
      <c r="G28" s="23" t="s">
        <v>2390</v>
      </c>
      <c r="H28" s="23" t="s">
        <v>2205</v>
      </c>
      <c r="I28" s="23" t="s">
        <v>2391</v>
      </c>
      <c r="J28" s="23" t="s">
        <v>2289</v>
      </c>
      <c r="K28" s="23" t="s">
        <v>292</v>
      </c>
      <c r="L28" s="23" t="s">
        <v>2290</v>
      </c>
      <c r="M28" s="23" t="s">
        <v>2392</v>
      </c>
      <c r="N28" s="28" t="s">
        <v>2585</v>
      </c>
    </row>
    <row r="29" spans="1:14" ht="409.6">
      <c r="A29" s="22" t="s">
        <v>293</v>
      </c>
      <c r="B29" s="22" t="s">
        <v>28</v>
      </c>
      <c r="C29" s="22" t="s">
        <v>294</v>
      </c>
      <c r="D29" s="22" t="s">
        <v>295</v>
      </c>
      <c r="E29" s="22" t="s">
        <v>296</v>
      </c>
      <c r="F29" s="22" t="s">
        <v>2296</v>
      </c>
      <c r="G29" s="22" t="s">
        <v>2394</v>
      </c>
      <c r="H29" s="22" t="s">
        <v>2297</v>
      </c>
      <c r="I29" s="22" t="s">
        <v>2395</v>
      </c>
      <c r="J29" s="22" t="s">
        <v>2299</v>
      </c>
      <c r="K29" s="22" t="s">
        <v>297</v>
      </c>
      <c r="L29" s="22" t="s">
        <v>2396</v>
      </c>
      <c r="M29" s="22" t="s">
        <v>2397</v>
      </c>
      <c r="N29" s="28" t="s">
        <v>2586</v>
      </c>
    </row>
    <row r="30" spans="1:14" ht="409.6">
      <c r="A30" s="23" t="s">
        <v>298</v>
      </c>
      <c r="B30" s="23" t="s">
        <v>28</v>
      </c>
      <c r="C30" s="23" t="s">
        <v>299</v>
      </c>
      <c r="D30" s="23" t="s">
        <v>300</v>
      </c>
      <c r="E30" s="23" t="s">
        <v>301</v>
      </c>
      <c r="F30" s="23" t="s">
        <v>2296</v>
      </c>
      <c r="G30" s="23" t="s">
        <v>2399</v>
      </c>
      <c r="H30" s="23" t="s">
        <v>2297</v>
      </c>
      <c r="I30" s="23" t="s">
        <v>2400</v>
      </c>
      <c r="J30" s="23" t="s">
        <v>2299</v>
      </c>
      <c r="K30" s="23" t="s">
        <v>302</v>
      </c>
      <c r="L30" s="23" t="s">
        <v>2401</v>
      </c>
      <c r="M30" s="23" t="s">
        <v>2402</v>
      </c>
      <c r="N30" s="28" t="s">
        <v>2587</v>
      </c>
    </row>
    <row r="31" spans="1:14" ht="409.6">
      <c r="A31" s="22" t="s">
        <v>303</v>
      </c>
      <c r="B31" s="22" t="s">
        <v>28</v>
      </c>
      <c r="C31" s="22" t="s">
        <v>304</v>
      </c>
      <c r="D31" s="22" t="s">
        <v>305</v>
      </c>
      <c r="E31" s="22" t="s">
        <v>306</v>
      </c>
      <c r="F31" s="22" t="s">
        <v>2296</v>
      </c>
      <c r="G31" s="22" t="s">
        <v>2404</v>
      </c>
      <c r="H31" s="22" t="s">
        <v>2297</v>
      </c>
      <c r="I31" s="22" t="s">
        <v>2405</v>
      </c>
      <c r="J31" s="22" t="s">
        <v>2299</v>
      </c>
      <c r="K31" s="22" t="s">
        <v>307</v>
      </c>
      <c r="L31" s="22" t="s">
        <v>2406</v>
      </c>
      <c r="M31" s="22" t="s">
        <v>2407</v>
      </c>
      <c r="N31" s="28" t="s">
        <v>2588</v>
      </c>
    </row>
    <row r="32" spans="1:14" ht="409.6">
      <c r="A32" s="23" t="s">
        <v>308</v>
      </c>
      <c r="B32" s="23" t="s">
        <v>28</v>
      </c>
      <c r="C32" s="23" t="s">
        <v>309</v>
      </c>
      <c r="D32" s="23" t="s">
        <v>310</v>
      </c>
      <c r="E32" s="23" t="s">
        <v>311</v>
      </c>
      <c r="F32" s="23" t="s">
        <v>2296</v>
      </c>
      <c r="G32" s="23" t="s">
        <v>2409</v>
      </c>
      <c r="H32" s="23" t="s">
        <v>2297</v>
      </c>
      <c r="I32" s="23" t="s">
        <v>2410</v>
      </c>
      <c r="J32" s="23" t="s">
        <v>2299</v>
      </c>
      <c r="K32" s="23" t="s">
        <v>312</v>
      </c>
      <c r="L32" s="23" t="s">
        <v>2411</v>
      </c>
      <c r="M32" s="23" t="s">
        <v>2412</v>
      </c>
      <c r="N32" s="28" t="s">
        <v>2589</v>
      </c>
    </row>
    <row r="33" spans="1:14" ht="409.6">
      <c r="A33" s="22" t="s">
        <v>313</v>
      </c>
      <c r="B33" s="22" t="s">
        <v>29</v>
      </c>
      <c r="C33" s="22" t="s">
        <v>314</v>
      </c>
      <c r="D33" s="22" t="s">
        <v>315</v>
      </c>
      <c r="E33" s="22" t="s">
        <v>316</v>
      </c>
      <c r="F33" s="22" t="s">
        <v>2296</v>
      </c>
      <c r="G33" s="22" t="s">
        <v>2414</v>
      </c>
      <c r="H33" s="22" t="s">
        <v>2297</v>
      </c>
      <c r="I33" s="22" t="s">
        <v>2415</v>
      </c>
      <c r="J33" s="22" t="s">
        <v>2299</v>
      </c>
      <c r="K33" s="22" t="s">
        <v>317</v>
      </c>
      <c r="L33" s="22" t="s">
        <v>2416</v>
      </c>
      <c r="M33" s="22" t="s">
        <v>2417</v>
      </c>
      <c r="N33" s="28" t="s">
        <v>2590</v>
      </c>
    </row>
    <row r="34" spans="1:14" ht="409.6">
      <c r="A34" s="23" t="s">
        <v>318</v>
      </c>
      <c r="B34" s="23" t="s">
        <v>29</v>
      </c>
      <c r="C34" s="23" t="s">
        <v>319</v>
      </c>
      <c r="D34" s="23" t="s">
        <v>320</v>
      </c>
      <c r="E34" s="23" t="s">
        <v>321</v>
      </c>
      <c r="F34" s="23" t="s">
        <v>2296</v>
      </c>
      <c r="G34" s="23" t="s">
        <v>2419</v>
      </c>
      <c r="H34" s="23" t="s">
        <v>2297</v>
      </c>
      <c r="I34" s="23" t="s">
        <v>2420</v>
      </c>
      <c r="J34" s="23" t="s">
        <v>2299</v>
      </c>
      <c r="K34" s="23" t="s">
        <v>322</v>
      </c>
      <c r="L34" s="23" t="s">
        <v>2421</v>
      </c>
      <c r="M34" s="23" t="s">
        <v>2422</v>
      </c>
      <c r="N34" s="28" t="s">
        <v>2591</v>
      </c>
    </row>
    <row r="35" spans="1:14" ht="409.6">
      <c r="A35" s="22" t="s">
        <v>323</v>
      </c>
      <c r="B35" s="22" t="s">
        <v>29</v>
      </c>
      <c r="C35" s="22" t="s">
        <v>324</v>
      </c>
      <c r="D35" s="22" t="s">
        <v>325</v>
      </c>
      <c r="E35" s="22" t="s">
        <v>326</v>
      </c>
      <c r="F35" s="22" t="s">
        <v>2296</v>
      </c>
      <c r="G35" s="22" t="s">
        <v>2424</v>
      </c>
      <c r="H35" s="22" t="s">
        <v>2297</v>
      </c>
      <c r="I35" s="22" t="s">
        <v>2425</v>
      </c>
      <c r="J35" s="22" t="s">
        <v>2299</v>
      </c>
      <c r="K35" s="22" t="s">
        <v>327</v>
      </c>
      <c r="L35" s="22" t="s">
        <v>2426</v>
      </c>
      <c r="M35" s="22" t="s">
        <v>2427</v>
      </c>
      <c r="N35" s="28" t="s">
        <v>2592</v>
      </c>
    </row>
    <row r="36" spans="1:14" ht="409.6">
      <c r="A36" s="23" t="s">
        <v>328</v>
      </c>
      <c r="B36" s="23" t="s">
        <v>329</v>
      </c>
      <c r="C36" s="23" t="s">
        <v>330</v>
      </c>
      <c r="D36" s="23" t="s">
        <v>331</v>
      </c>
      <c r="E36" s="23" t="s">
        <v>332</v>
      </c>
      <c r="F36" s="23" t="s">
        <v>2287</v>
      </c>
      <c r="G36" s="23" t="s">
        <v>2429</v>
      </c>
      <c r="H36" s="23" t="s">
        <v>2205</v>
      </c>
      <c r="I36" s="23" t="s">
        <v>2430</v>
      </c>
      <c r="J36" s="23" t="s">
        <v>2289</v>
      </c>
      <c r="K36" s="23" t="s">
        <v>333</v>
      </c>
      <c r="L36" s="23" t="s">
        <v>2290</v>
      </c>
      <c r="M36" s="23" t="s">
        <v>2431</v>
      </c>
      <c r="N36" s="28" t="s">
        <v>2593</v>
      </c>
    </row>
    <row r="37" spans="1:14" ht="409.6">
      <c r="A37" s="22" t="s">
        <v>334</v>
      </c>
      <c r="B37" s="22" t="s">
        <v>335</v>
      </c>
      <c r="C37" s="22" t="s">
        <v>336</v>
      </c>
      <c r="D37" s="22" t="s">
        <v>337</v>
      </c>
      <c r="E37" s="22" t="s">
        <v>338</v>
      </c>
      <c r="F37" s="22" t="s">
        <v>2296</v>
      </c>
      <c r="G37" s="22" t="s">
        <v>2563</v>
      </c>
      <c r="H37" s="22" t="s">
        <v>2297</v>
      </c>
      <c r="I37" s="22" t="s">
        <v>2433</v>
      </c>
      <c r="J37" s="22" t="s">
        <v>2299</v>
      </c>
      <c r="K37" s="22" t="s">
        <v>335</v>
      </c>
      <c r="L37" s="22" t="s">
        <v>2434</v>
      </c>
      <c r="M37" s="22" t="s">
        <v>2435</v>
      </c>
      <c r="N37" s="28" t="s">
        <v>2594</v>
      </c>
    </row>
    <row r="38" spans="1:14" ht="409.6">
      <c r="A38" s="23" t="s">
        <v>339</v>
      </c>
      <c r="B38" s="23" t="s">
        <v>335</v>
      </c>
      <c r="C38" s="23" t="s">
        <v>340</v>
      </c>
      <c r="D38" s="23" t="s">
        <v>341</v>
      </c>
      <c r="E38" s="23" t="s">
        <v>342</v>
      </c>
      <c r="F38" s="23" t="s">
        <v>2296</v>
      </c>
      <c r="G38" s="23" t="s">
        <v>2564</v>
      </c>
      <c r="H38" s="23" t="s">
        <v>2297</v>
      </c>
      <c r="I38" s="23" t="s">
        <v>2437</v>
      </c>
      <c r="J38" s="23" t="s">
        <v>2299</v>
      </c>
      <c r="K38" s="23" t="s">
        <v>335</v>
      </c>
      <c r="L38" s="23" t="s">
        <v>2438</v>
      </c>
      <c r="M38" s="23" t="s">
        <v>2439</v>
      </c>
      <c r="N38" s="28" t="s">
        <v>2595</v>
      </c>
    </row>
    <row r="39" spans="1:14" ht="409.6" customHeight="1">
      <c r="A39" s="27" t="s">
        <v>343</v>
      </c>
      <c r="B39" s="27" t="s">
        <v>10</v>
      </c>
      <c r="C39" s="27" t="s">
        <v>344</v>
      </c>
      <c r="D39" s="27" t="s">
        <v>345</v>
      </c>
      <c r="E39" s="27" t="s">
        <v>346</v>
      </c>
      <c r="F39" s="27" t="s">
        <v>2343</v>
      </c>
      <c r="G39" s="28" t="s">
        <v>2441</v>
      </c>
      <c r="H39" s="27" t="s">
        <v>2345</v>
      </c>
      <c r="I39" s="27" t="s">
        <v>2442</v>
      </c>
      <c r="J39" s="27" t="s">
        <v>2347</v>
      </c>
      <c r="K39" s="27" t="s">
        <v>347</v>
      </c>
      <c r="L39" s="27" t="s">
        <v>2348</v>
      </c>
      <c r="M39" s="27" t="s">
        <v>2349</v>
      </c>
      <c r="N39" s="28" t="s">
        <v>2350</v>
      </c>
    </row>
    <row r="40" spans="1:14" ht="319.95" customHeight="1">
      <c r="A40" s="27" t="s">
        <v>1516</v>
      </c>
      <c r="B40" s="27" t="s">
        <v>2443</v>
      </c>
      <c r="C40" s="27" t="s">
        <v>2444</v>
      </c>
      <c r="D40" s="27" t="s">
        <v>2445</v>
      </c>
      <c r="E40" s="27" t="s">
        <v>2446</v>
      </c>
      <c r="F40" s="27" t="s">
        <v>2447</v>
      </c>
      <c r="G40" s="27" t="s">
        <v>2448</v>
      </c>
      <c r="H40" s="27" t="s">
        <v>2449</v>
      </c>
      <c r="I40" s="27" t="s">
        <v>2450</v>
      </c>
      <c r="J40" s="27" t="s">
        <v>2347</v>
      </c>
      <c r="K40" s="27" t="s">
        <v>2451</v>
      </c>
      <c r="L40" s="27" t="s">
        <v>2348</v>
      </c>
      <c r="M40" s="27" t="s">
        <v>2452</v>
      </c>
      <c r="N40" s="28" t="s">
        <v>2453</v>
      </c>
    </row>
  </sheetData>
  <mergeCells count="2">
    <mergeCell ref="A1:J1"/>
    <mergeCell ref="A2:J2"/>
  </mergeCells>
  <conditionalFormatting sqref="J6:J29">
    <cfRule type="containsText" dxfId="34" priority="1" operator="containsText" text="Approved"/>
    <cfRule type="containsText" dxfId="33" priority="2" operator="containsText" text="Blocked"/>
    <cfRule type="containsText" dxfId="32" priority="3" operator="containsText" text="In Progress"/>
    <cfRule type="containsText" dxfId="31" priority="4" operator="containsText" text="Ready for Review"/>
  </conditionalFormatting>
  <dataValidations count="1">
    <dataValidation type="list" sqref="J6:J29"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51" t="s">
        <v>348</v>
      </c>
      <c r="B1" s="51"/>
      <c r="C1" s="51"/>
      <c r="D1" s="51"/>
      <c r="E1" s="51"/>
      <c r="F1" s="51"/>
      <c r="G1" s="51"/>
      <c r="H1" s="51"/>
      <c r="I1" s="51"/>
      <c r="J1" s="51"/>
      <c r="K1" s="51"/>
      <c r="L1" s="51"/>
    </row>
    <row r="2" spans="1:12" ht="31.95" customHeight="1">
      <c r="A2" s="52" t="s">
        <v>2454</v>
      </c>
      <c r="B2" s="52"/>
      <c r="C2" s="52"/>
      <c r="D2" s="52"/>
      <c r="E2" s="52"/>
      <c r="F2" s="52"/>
      <c r="G2" s="52"/>
      <c r="H2" s="52"/>
      <c r="I2" s="52"/>
      <c r="J2" s="52"/>
      <c r="K2" s="52"/>
      <c r="L2" s="52"/>
    </row>
    <row r="5" spans="1:12" ht="28.05" customHeight="1">
      <c r="A5" s="1" t="s">
        <v>349</v>
      </c>
      <c r="B5" s="2" t="s">
        <v>22</v>
      </c>
      <c r="C5" s="2" t="s">
        <v>350</v>
      </c>
      <c r="D5" s="2" t="s">
        <v>351</v>
      </c>
      <c r="E5" s="2" t="s">
        <v>352</v>
      </c>
      <c r="F5" s="2" t="s">
        <v>353</v>
      </c>
      <c r="G5" s="2" t="s">
        <v>354</v>
      </c>
      <c r="H5" s="2" t="s">
        <v>355</v>
      </c>
      <c r="I5" s="2" t="s">
        <v>356</v>
      </c>
      <c r="J5" s="2" t="s">
        <v>357</v>
      </c>
      <c r="K5" s="2" t="s">
        <v>358</v>
      </c>
      <c r="L5" s="3" t="s">
        <v>359</v>
      </c>
    </row>
    <row r="6" spans="1:12" ht="45.6">
      <c r="A6" s="10" t="s">
        <v>360</v>
      </c>
      <c r="B6" s="10" t="s">
        <v>10</v>
      </c>
      <c r="C6" s="10" t="s">
        <v>361</v>
      </c>
      <c r="D6" s="10" t="s">
        <v>362</v>
      </c>
      <c r="E6" s="10" t="s">
        <v>363</v>
      </c>
      <c r="F6" s="10" t="s">
        <v>364</v>
      </c>
      <c r="G6" s="10" t="s">
        <v>365</v>
      </c>
      <c r="H6" s="10" t="s">
        <v>366</v>
      </c>
      <c r="I6" s="17">
        <v>46252</v>
      </c>
      <c r="J6" s="10" t="s">
        <v>367</v>
      </c>
      <c r="K6" s="10" t="s">
        <v>368</v>
      </c>
      <c r="L6" s="10" t="s">
        <v>369</v>
      </c>
    </row>
    <row r="7" spans="1:12" ht="45.6">
      <c r="A7" s="11" t="s">
        <v>370</v>
      </c>
      <c r="B7" s="11" t="s">
        <v>10</v>
      </c>
      <c r="C7" s="11" t="s">
        <v>185</v>
      </c>
      <c r="D7" s="11" t="s">
        <v>371</v>
      </c>
      <c r="E7" s="11" t="s">
        <v>372</v>
      </c>
      <c r="F7" s="11" t="s">
        <v>373</v>
      </c>
      <c r="G7" s="11" t="s">
        <v>374</v>
      </c>
      <c r="H7" s="11" t="s">
        <v>366</v>
      </c>
      <c r="I7" s="18">
        <v>46252</v>
      </c>
      <c r="J7" s="11" t="s">
        <v>375</v>
      </c>
      <c r="K7" s="11" t="s">
        <v>368</v>
      </c>
      <c r="L7" s="11" t="s">
        <v>369</v>
      </c>
    </row>
    <row r="8" spans="1:12" ht="57">
      <c r="A8" s="11" t="s">
        <v>376</v>
      </c>
      <c r="B8" s="11" t="s">
        <v>10</v>
      </c>
      <c r="C8" s="11" t="s">
        <v>377</v>
      </c>
      <c r="D8" s="11" t="s">
        <v>378</v>
      </c>
      <c r="E8" s="11" t="s">
        <v>379</v>
      </c>
      <c r="F8" s="11" t="s">
        <v>380</v>
      </c>
      <c r="G8" s="11" t="s">
        <v>381</v>
      </c>
      <c r="H8" s="11" t="s">
        <v>366</v>
      </c>
      <c r="I8" s="18">
        <v>46252</v>
      </c>
      <c r="J8" s="11" t="s">
        <v>382</v>
      </c>
      <c r="K8" s="11" t="s">
        <v>383</v>
      </c>
      <c r="L8" s="11" t="s">
        <v>369</v>
      </c>
    </row>
    <row r="9" spans="1:12" ht="45.6">
      <c r="A9" s="11" t="s">
        <v>384</v>
      </c>
      <c r="B9" s="11" t="s">
        <v>10</v>
      </c>
      <c r="C9" s="11" t="s">
        <v>385</v>
      </c>
      <c r="D9" s="11" t="s">
        <v>386</v>
      </c>
      <c r="E9" s="11" t="s">
        <v>387</v>
      </c>
      <c r="F9" s="11" t="s">
        <v>388</v>
      </c>
      <c r="G9" s="11" t="s">
        <v>389</v>
      </c>
      <c r="H9" s="11" t="s">
        <v>366</v>
      </c>
      <c r="I9" s="18">
        <v>46252</v>
      </c>
      <c r="J9" s="11" t="s">
        <v>390</v>
      </c>
      <c r="K9" s="11" t="s">
        <v>391</v>
      </c>
      <c r="L9" s="11" t="s">
        <v>369</v>
      </c>
    </row>
    <row r="10" spans="1:12">
      <c r="A10" s="11" t="s">
        <v>392</v>
      </c>
      <c r="B10" s="11" t="s">
        <v>25</v>
      </c>
      <c r="C10" s="11" t="s">
        <v>361</v>
      </c>
      <c r="D10" s="11" t="s">
        <v>393</v>
      </c>
      <c r="E10" s="11" t="s">
        <v>394</v>
      </c>
      <c r="F10" s="11" t="s">
        <v>395</v>
      </c>
      <c r="G10" s="11" t="s">
        <v>396</v>
      </c>
      <c r="H10" s="11" t="s">
        <v>397</v>
      </c>
      <c r="I10" s="18"/>
      <c r="J10" s="11"/>
      <c r="K10" s="11"/>
      <c r="L10" s="11"/>
    </row>
    <row r="11" spans="1:12">
      <c r="A11" s="11" t="s">
        <v>398</v>
      </c>
      <c r="B11" s="11" t="s">
        <v>25</v>
      </c>
      <c r="C11" s="11" t="s">
        <v>399</v>
      </c>
      <c r="D11" s="11" t="s">
        <v>400</v>
      </c>
      <c r="E11" s="11" t="s">
        <v>401</v>
      </c>
      <c r="F11" s="11" t="s">
        <v>402</v>
      </c>
      <c r="G11" s="11" t="s">
        <v>403</v>
      </c>
      <c r="H11" s="11" t="s">
        <v>397</v>
      </c>
      <c r="I11" s="18"/>
      <c r="J11" s="11"/>
      <c r="K11" s="11"/>
      <c r="L11" s="11"/>
    </row>
    <row r="12" spans="1:12">
      <c r="A12" s="11" t="s">
        <v>404</v>
      </c>
      <c r="B12" s="11" t="s">
        <v>25</v>
      </c>
      <c r="C12" s="11" t="s">
        <v>361</v>
      </c>
      <c r="D12" s="11" t="s">
        <v>405</v>
      </c>
      <c r="E12" s="11" t="s">
        <v>406</v>
      </c>
      <c r="F12" s="11" t="s">
        <v>407</v>
      </c>
      <c r="G12" s="11" t="s">
        <v>408</v>
      </c>
      <c r="H12" s="11" t="s">
        <v>397</v>
      </c>
      <c r="I12" s="18"/>
      <c r="J12" s="11"/>
      <c r="K12" s="11"/>
      <c r="L12" s="11"/>
    </row>
    <row r="13" spans="1:12" ht="22.8">
      <c r="A13" s="11" t="s">
        <v>409</v>
      </c>
      <c r="B13" s="11" t="s">
        <v>25</v>
      </c>
      <c r="C13" s="11" t="s">
        <v>377</v>
      </c>
      <c r="D13" s="11" t="s">
        <v>410</v>
      </c>
      <c r="E13" s="11" t="s">
        <v>411</v>
      </c>
      <c r="F13" s="11" t="s">
        <v>412</v>
      </c>
      <c r="G13" s="11" t="s">
        <v>413</v>
      </c>
      <c r="H13" s="11" t="s">
        <v>397</v>
      </c>
      <c r="I13" s="18"/>
      <c r="J13" s="11"/>
      <c r="K13" s="11"/>
      <c r="L13" s="11"/>
    </row>
    <row r="14" spans="1:12">
      <c r="A14" s="11" t="s">
        <v>414</v>
      </c>
      <c r="B14" s="11" t="s">
        <v>25</v>
      </c>
      <c r="C14" s="11" t="s">
        <v>185</v>
      </c>
      <c r="D14" s="11" t="s">
        <v>415</v>
      </c>
      <c r="E14" s="11" t="s">
        <v>416</v>
      </c>
      <c r="F14" s="11" t="s">
        <v>417</v>
      </c>
      <c r="G14" s="11" t="s">
        <v>418</v>
      </c>
      <c r="H14" s="11" t="s">
        <v>397</v>
      </c>
      <c r="I14" s="18"/>
      <c r="J14" s="11"/>
      <c r="K14" s="11"/>
      <c r="L14" s="11"/>
    </row>
    <row r="15" spans="1:12">
      <c r="A15" s="11" t="s">
        <v>419</v>
      </c>
      <c r="B15" s="11" t="s">
        <v>25</v>
      </c>
      <c r="C15" s="11" t="s">
        <v>385</v>
      </c>
      <c r="D15" s="11" t="s">
        <v>420</v>
      </c>
      <c r="E15" s="11" t="s">
        <v>421</v>
      </c>
      <c r="F15" s="11" t="s">
        <v>422</v>
      </c>
      <c r="G15" s="11" t="s">
        <v>423</v>
      </c>
      <c r="H15" s="11" t="s">
        <v>397</v>
      </c>
      <c r="I15" s="18"/>
      <c r="J15" s="11"/>
      <c r="K15" s="11"/>
      <c r="L15" s="11"/>
    </row>
    <row r="16" spans="1:12">
      <c r="A16" s="11" t="s">
        <v>424</v>
      </c>
      <c r="B16" s="11" t="s">
        <v>26</v>
      </c>
      <c r="C16" s="11" t="s">
        <v>361</v>
      </c>
      <c r="D16" s="11" t="s">
        <v>425</v>
      </c>
      <c r="E16" s="11" t="s">
        <v>426</v>
      </c>
      <c r="F16" s="11" t="s">
        <v>427</v>
      </c>
      <c r="G16" s="11" t="s">
        <v>428</v>
      </c>
      <c r="H16" s="11" t="s">
        <v>397</v>
      </c>
      <c r="I16" s="18"/>
      <c r="J16" s="11"/>
      <c r="K16" s="11"/>
      <c r="L16" s="11"/>
    </row>
    <row r="17" spans="1:12">
      <c r="A17" s="11" t="s">
        <v>429</v>
      </c>
      <c r="B17" s="11" t="s">
        <v>26</v>
      </c>
      <c r="C17" s="11" t="s">
        <v>377</v>
      </c>
      <c r="D17" s="11" t="s">
        <v>430</v>
      </c>
      <c r="E17" s="11" t="s">
        <v>431</v>
      </c>
      <c r="F17" s="11" t="s">
        <v>432</v>
      </c>
      <c r="G17" s="11" t="s">
        <v>433</v>
      </c>
      <c r="H17" s="11" t="s">
        <v>397</v>
      </c>
      <c r="I17" s="18"/>
      <c r="J17" s="11"/>
      <c r="K17" s="11"/>
      <c r="L17" s="11"/>
    </row>
    <row r="18" spans="1:12">
      <c r="A18" s="11" t="s">
        <v>434</v>
      </c>
      <c r="B18" s="11" t="s">
        <v>26</v>
      </c>
      <c r="C18" s="11" t="s">
        <v>435</v>
      </c>
      <c r="D18" s="11" t="s">
        <v>436</v>
      </c>
      <c r="E18" s="11" t="s">
        <v>437</v>
      </c>
      <c r="F18" s="11" t="s">
        <v>438</v>
      </c>
      <c r="G18" s="11" t="s">
        <v>439</v>
      </c>
      <c r="H18" s="11" t="s">
        <v>397</v>
      </c>
      <c r="I18" s="18"/>
      <c r="J18" s="11"/>
      <c r="K18" s="11"/>
      <c r="L18" s="11"/>
    </row>
    <row r="19" spans="1:12">
      <c r="A19" s="11" t="s">
        <v>440</v>
      </c>
      <c r="B19" s="11" t="s">
        <v>26</v>
      </c>
      <c r="C19" s="11" t="s">
        <v>441</v>
      </c>
      <c r="D19" s="11" t="s">
        <v>442</v>
      </c>
      <c r="E19" s="11" t="s">
        <v>443</v>
      </c>
      <c r="F19" s="11" t="s">
        <v>444</v>
      </c>
      <c r="G19" s="11" t="s">
        <v>445</v>
      </c>
      <c r="H19" s="11" t="s">
        <v>397</v>
      </c>
      <c r="I19" s="18"/>
      <c r="J19" s="11"/>
      <c r="K19" s="11"/>
      <c r="L19" s="11"/>
    </row>
    <row r="20" spans="1:12">
      <c r="A20" s="11" t="s">
        <v>446</v>
      </c>
      <c r="B20" s="11" t="s">
        <v>27</v>
      </c>
      <c r="C20" s="11" t="s">
        <v>361</v>
      </c>
      <c r="D20" s="11" t="s">
        <v>447</v>
      </c>
      <c r="E20" s="11" t="s">
        <v>448</v>
      </c>
      <c r="F20" s="11" t="s">
        <v>449</v>
      </c>
      <c r="G20" s="11" t="s">
        <v>450</v>
      </c>
      <c r="H20" s="11" t="s">
        <v>397</v>
      </c>
      <c r="I20" s="18"/>
      <c r="J20" s="11"/>
      <c r="K20" s="11"/>
      <c r="L20" s="11"/>
    </row>
    <row r="21" spans="1:12">
      <c r="A21" s="11" t="s">
        <v>451</v>
      </c>
      <c r="B21" s="11" t="s">
        <v>27</v>
      </c>
      <c r="C21" s="11" t="s">
        <v>377</v>
      </c>
      <c r="D21" s="11" t="s">
        <v>452</v>
      </c>
      <c r="E21" s="11" t="s">
        <v>453</v>
      </c>
      <c r="F21" s="11" t="s">
        <v>454</v>
      </c>
      <c r="G21" s="11" t="s">
        <v>455</v>
      </c>
      <c r="H21" s="11" t="s">
        <v>397</v>
      </c>
      <c r="I21" s="18"/>
      <c r="J21" s="11"/>
      <c r="K21" s="11"/>
      <c r="L21" s="11"/>
    </row>
    <row r="22" spans="1:12">
      <c r="A22" s="11" t="s">
        <v>456</v>
      </c>
      <c r="B22" s="11" t="s">
        <v>27</v>
      </c>
      <c r="C22" s="11" t="s">
        <v>185</v>
      </c>
      <c r="D22" s="11" t="s">
        <v>457</v>
      </c>
      <c r="E22" s="11" t="s">
        <v>458</v>
      </c>
      <c r="F22" s="11" t="s">
        <v>459</v>
      </c>
      <c r="G22" s="11" t="s">
        <v>460</v>
      </c>
      <c r="H22" s="11" t="s">
        <v>397</v>
      </c>
      <c r="I22" s="18"/>
      <c r="J22" s="11"/>
      <c r="K22" s="11"/>
      <c r="L22" s="11"/>
    </row>
    <row r="23" spans="1:12" ht="22.8">
      <c r="A23" s="11" t="s">
        <v>461</v>
      </c>
      <c r="B23" s="11" t="s">
        <v>27</v>
      </c>
      <c r="C23" s="11" t="s">
        <v>462</v>
      </c>
      <c r="D23" s="11" t="s">
        <v>463</v>
      </c>
      <c r="E23" s="11" t="s">
        <v>464</v>
      </c>
      <c r="F23" s="11" t="s">
        <v>465</v>
      </c>
      <c r="G23" s="11" t="s">
        <v>466</v>
      </c>
      <c r="H23" s="11" t="s">
        <v>397</v>
      </c>
      <c r="I23" s="18"/>
      <c r="J23" s="11"/>
      <c r="K23" s="11"/>
      <c r="L23" s="11"/>
    </row>
    <row r="24" spans="1:12">
      <c r="A24" s="11" t="s">
        <v>467</v>
      </c>
      <c r="B24" s="11" t="s">
        <v>27</v>
      </c>
      <c r="C24" s="11" t="s">
        <v>441</v>
      </c>
      <c r="D24" s="11" t="s">
        <v>468</v>
      </c>
      <c r="E24" s="11" t="s">
        <v>469</v>
      </c>
      <c r="F24" s="11" t="s">
        <v>470</v>
      </c>
      <c r="G24" s="11" t="s">
        <v>471</v>
      </c>
      <c r="H24" s="11" t="s">
        <v>397</v>
      </c>
      <c r="I24" s="18"/>
      <c r="J24" s="11"/>
      <c r="K24" s="11"/>
      <c r="L24" s="11"/>
    </row>
    <row r="25" spans="1:12" ht="22.8">
      <c r="A25" s="11" t="s">
        <v>472</v>
      </c>
      <c r="B25" s="11" t="s">
        <v>28</v>
      </c>
      <c r="C25" s="11" t="s">
        <v>473</v>
      </c>
      <c r="D25" s="11" t="s">
        <v>474</v>
      </c>
      <c r="E25" s="11" t="s">
        <v>475</v>
      </c>
      <c r="F25" s="11" t="s">
        <v>476</v>
      </c>
      <c r="G25" s="11" t="s">
        <v>477</v>
      </c>
      <c r="H25" s="11" t="s">
        <v>397</v>
      </c>
      <c r="I25" s="18"/>
      <c r="J25" s="11"/>
      <c r="K25" s="11"/>
      <c r="L25" s="11"/>
    </row>
    <row r="26" spans="1:12">
      <c r="A26" s="11" t="s">
        <v>478</v>
      </c>
      <c r="B26" s="11" t="s">
        <v>28</v>
      </c>
      <c r="C26" s="11" t="s">
        <v>479</v>
      </c>
      <c r="D26" s="11" t="s">
        <v>480</v>
      </c>
      <c r="E26" s="11" t="s">
        <v>481</v>
      </c>
      <c r="F26" s="11" t="s">
        <v>482</v>
      </c>
      <c r="G26" s="11" t="s">
        <v>483</v>
      </c>
      <c r="H26" s="11" t="s">
        <v>397</v>
      </c>
      <c r="I26" s="18"/>
      <c r="J26" s="11"/>
      <c r="K26" s="11"/>
      <c r="L26" s="11"/>
    </row>
    <row r="27" spans="1:12">
      <c r="A27" s="11" t="s">
        <v>484</v>
      </c>
      <c r="B27" s="11" t="s">
        <v>28</v>
      </c>
      <c r="C27" s="11" t="s">
        <v>473</v>
      </c>
      <c r="D27" s="11" t="s">
        <v>485</v>
      </c>
      <c r="E27" s="11" t="s">
        <v>486</v>
      </c>
      <c r="F27" s="11" t="s">
        <v>487</v>
      </c>
      <c r="G27" s="11" t="s">
        <v>488</v>
      </c>
      <c r="H27" s="11" t="s">
        <v>397</v>
      </c>
      <c r="I27" s="18"/>
      <c r="J27" s="11"/>
      <c r="K27" s="11"/>
      <c r="L27" s="11"/>
    </row>
    <row r="28" spans="1:12">
      <c r="A28" s="11" t="s">
        <v>489</v>
      </c>
      <c r="B28" s="11" t="s">
        <v>28</v>
      </c>
      <c r="C28" s="11" t="s">
        <v>490</v>
      </c>
      <c r="D28" s="11" t="s">
        <v>491</v>
      </c>
      <c r="E28" s="11" t="s">
        <v>492</v>
      </c>
      <c r="F28" s="11" t="s">
        <v>493</v>
      </c>
      <c r="G28" s="11" t="s">
        <v>494</v>
      </c>
      <c r="H28" s="11" t="s">
        <v>397</v>
      </c>
      <c r="I28" s="18"/>
      <c r="J28" s="11"/>
      <c r="K28" s="11"/>
      <c r="L28" s="11"/>
    </row>
    <row r="29" spans="1:12">
      <c r="A29" s="11" t="s">
        <v>495</v>
      </c>
      <c r="B29" s="11" t="s">
        <v>28</v>
      </c>
      <c r="C29" s="11" t="s">
        <v>496</v>
      </c>
      <c r="D29" s="11" t="s">
        <v>497</v>
      </c>
      <c r="E29" s="11" t="s">
        <v>498</v>
      </c>
      <c r="F29" s="11" t="s">
        <v>499</v>
      </c>
      <c r="G29" s="11" t="s">
        <v>500</v>
      </c>
      <c r="H29" s="11" t="s">
        <v>397</v>
      </c>
      <c r="I29" s="18"/>
      <c r="J29" s="11"/>
      <c r="K29" s="11"/>
      <c r="L29" s="11"/>
    </row>
    <row r="30" spans="1:12" ht="22.8">
      <c r="A30" s="11" t="s">
        <v>501</v>
      </c>
      <c r="B30" s="11" t="s">
        <v>28</v>
      </c>
      <c r="C30" s="11" t="s">
        <v>385</v>
      </c>
      <c r="D30" s="11" t="s">
        <v>502</v>
      </c>
      <c r="E30" s="11" t="s">
        <v>503</v>
      </c>
      <c r="F30" s="11" t="s">
        <v>504</v>
      </c>
      <c r="G30" s="11" t="s">
        <v>505</v>
      </c>
      <c r="H30" s="11" t="s">
        <v>397</v>
      </c>
      <c r="I30" s="18"/>
      <c r="J30" s="11"/>
      <c r="K30" s="11"/>
      <c r="L30" s="11"/>
    </row>
    <row r="31" spans="1:12">
      <c r="A31" s="11" t="s">
        <v>506</v>
      </c>
      <c r="B31" s="11" t="s">
        <v>29</v>
      </c>
      <c r="C31" s="11" t="s">
        <v>507</v>
      </c>
      <c r="D31" s="11" t="s">
        <v>508</v>
      </c>
      <c r="E31" s="11" t="s">
        <v>509</v>
      </c>
      <c r="F31" s="11" t="s">
        <v>510</v>
      </c>
      <c r="G31" s="11" t="s">
        <v>511</v>
      </c>
      <c r="H31" s="11" t="s">
        <v>397</v>
      </c>
      <c r="I31" s="18"/>
      <c r="J31" s="11"/>
      <c r="K31" s="11"/>
      <c r="L31" s="11"/>
    </row>
    <row r="32" spans="1:12">
      <c r="A32" s="11" t="s">
        <v>512</v>
      </c>
      <c r="B32" s="11" t="s">
        <v>29</v>
      </c>
      <c r="C32" s="11" t="s">
        <v>496</v>
      </c>
      <c r="D32" s="11" t="s">
        <v>513</v>
      </c>
      <c r="E32" s="11" t="s">
        <v>514</v>
      </c>
      <c r="F32" s="11" t="s">
        <v>515</v>
      </c>
      <c r="G32" s="11" t="s">
        <v>516</v>
      </c>
      <c r="H32" s="11" t="s">
        <v>397</v>
      </c>
      <c r="I32" s="18"/>
      <c r="J32" s="11"/>
      <c r="K32" s="11"/>
      <c r="L32" s="11"/>
    </row>
    <row r="33" spans="1:12">
      <c r="A33" s="11" t="s">
        <v>517</v>
      </c>
      <c r="B33" s="11" t="s">
        <v>29</v>
      </c>
      <c r="C33" s="11" t="s">
        <v>518</v>
      </c>
      <c r="D33" s="11" t="s">
        <v>519</v>
      </c>
      <c r="E33" s="11" t="s">
        <v>520</v>
      </c>
      <c r="F33" s="11" t="s">
        <v>521</v>
      </c>
      <c r="G33" s="11" t="s">
        <v>522</v>
      </c>
      <c r="H33" s="11" t="s">
        <v>397</v>
      </c>
      <c r="I33" s="18"/>
      <c r="J33" s="11"/>
      <c r="K33" s="11"/>
      <c r="L33" s="11"/>
    </row>
    <row r="34" spans="1:12">
      <c r="A34" s="11" t="s">
        <v>523</v>
      </c>
      <c r="B34" s="11" t="s">
        <v>29</v>
      </c>
      <c r="C34" s="11" t="s">
        <v>524</v>
      </c>
      <c r="D34" s="11" t="s">
        <v>525</v>
      </c>
      <c r="E34" s="11" t="s">
        <v>526</v>
      </c>
      <c r="F34" s="11" t="s">
        <v>527</v>
      </c>
      <c r="G34" s="11" t="s">
        <v>528</v>
      </c>
      <c r="H34" s="11" t="s">
        <v>397</v>
      </c>
      <c r="I34" s="18"/>
      <c r="J34" s="11"/>
      <c r="K34" s="11"/>
      <c r="L34" s="11"/>
    </row>
    <row r="35" spans="1:12">
      <c r="A35" s="11" t="s">
        <v>529</v>
      </c>
      <c r="B35" s="11" t="s">
        <v>29</v>
      </c>
      <c r="C35" s="11" t="s">
        <v>435</v>
      </c>
      <c r="D35" s="11" t="s">
        <v>530</v>
      </c>
      <c r="E35" s="11" t="s">
        <v>531</v>
      </c>
      <c r="F35" s="11" t="s">
        <v>532</v>
      </c>
      <c r="G35" s="11" t="s">
        <v>533</v>
      </c>
      <c r="H35" s="11" t="s">
        <v>397</v>
      </c>
      <c r="I35" s="18"/>
      <c r="J35" s="11"/>
      <c r="K35" s="11"/>
      <c r="L35" s="11"/>
    </row>
    <row r="36" spans="1:12">
      <c r="A36" s="11" t="s">
        <v>534</v>
      </c>
      <c r="B36" s="11" t="s">
        <v>29</v>
      </c>
      <c r="C36" s="11" t="s">
        <v>441</v>
      </c>
      <c r="D36" s="11" t="s">
        <v>535</v>
      </c>
      <c r="E36" s="11" t="s">
        <v>536</v>
      </c>
      <c r="F36" s="11" t="s">
        <v>537</v>
      </c>
      <c r="G36" s="11" t="s">
        <v>538</v>
      </c>
      <c r="H36" s="11" t="s">
        <v>397</v>
      </c>
      <c r="I36" s="18"/>
      <c r="J36" s="11"/>
      <c r="K36" s="11"/>
      <c r="L36" s="11"/>
    </row>
    <row r="37" spans="1:12" ht="22.8">
      <c r="A37" s="11" t="s">
        <v>539</v>
      </c>
      <c r="B37" s="11" t="s">
        <v>29</v>
      </c>
      <c r="C37" s="11" t="s">
        <v>385</v>
      </c>
      <c r="D37" s="11" t="s">
        <v>540</v>
      </c>
      <c r="E37" s="11" t="s">
        <v>503</v>
      </c>
      <c r="F37" s="11" t="s">
        <v>541</v>
      </c>
      <c r="G37" s="11" t="s">
        <v>542</v>
      </c>
      <c r="H37" s="11" t="s">
        <v>397</v>
      </c>
      <c r="I37" s="18"/>
      <c r="J37" s="11"/>
      <c r="K37" s="11"/>
      <c r="L37" s="11"/>
    </row>
    <row r="38" spans="1:12" ht="42" customHeight="1">
      <c r="A38" s="23" t="s">
        <v>543</v>
      </c>
      <c r="B38" s="23" t="s">
        <v>10</v>
      </c>
      <c r="C38" s="23" t="s">
        <v>544</v>
      </c>
      <c r="D38" s="23" t="s">
        <v>545</v>
      </c>
      <c r="E38" s="23" t="s">
        <v>546</v>
      </c>
      <c r="F38" s="23" t="s">
        <v>547</v>
      </c>
      <c r="G38" s="23" t="s">
        <v>548</v>
      </c>
      <c r="H38" s="23" t="s">
        <v>366</v>
      </c>
      <c r="I38" s="25">
        <v>46252</v>
      </c>
      <c r="J38" s="23" t="s">
        <v>549</v>
      </c>
      <c r="K38" s="23" t="s">
        <v>550</v>
      </c>
      <c r="L38" s="23" t="s">
        <v>369</v>
      </c>
    </row>
    <row r="39" spans="1:12" ht="42" customHeight="1">
      <c r="A39" s="22" t="s">
        <v>551</v>
      </c>
      <c r="B39" s="22" t="s">
        <v>10</v>
      </c>
      <c r="C39" s="22" t="s">
        <v>552</v>
      </c>
      <c r="D39" s="22" t="s">
        <v>553</v>
      </c>
      <c r="E39" s="22" t="s">
        <v>554</v>
      </c>
      <c r="F39" s="22" t="s">
        <v>555</v>
      </c>
      <c r="G39" s="22" t="s">
        <v>556</v>
      </c>
      <c r="H39" s="22" t="s">
        <v>366</v>
      </c>
      <c r="I39" s="26">
        <v>46252</v>
      </c>
      <c r="J39" s="22" t="s">
        <v>557</v>
      </c>
      <c r="K39" s="22" t="s">
        <v>558</v>
      </c>
      <c r="L39" s="22" t="s">
        <v>369</v>
      </c>
    </row>
  </sheetData>
  <mergeCells count="2">
    <mergeCell ref="A1:L1"/>
    <mergeCell ref="A2:L2"/>
  </mergeCells>
  <conditionalFormatting sqref="H6:H37">
    <cfRule type="containsText" dxfId="30" priority="1" operator="containsText" text="Pass"/>
    <cfRule type="containsText" dxfId="29" priority="2" operator="containsText" text="Blocked"/>
    <cfRule type="containsText" dxfId="28" priority="3" operator="containsText" text="In Progress"/>
    <cfRule type="containsText" dxfId="27"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51" t="s">
        <v>559</v>
      </c>
      <c r="B1" s="51"/>
      <c r="C1" s="51"/>
      <c r="D1" s="51"/>
      <c r="E1" s="51"/>
      <c r="F1" s="51"/>
      <c r="G1" s="51"/>
      <c r="H1" s="51"/>
      <c r="I1" s="51"/>
      <c r="J1" s="51"/>
      <c r="K1" s="51"/>
    </row>
    <row r="2" spans="1:11" ht="31.95" customHeight="1">
      <c r="A2" s="52" t="s">
        <v>560</v>
      </c>
      <c r="B2" s="52"/>
      <c r="C2" s="52"/>
      <c r="D2" s="52"/>
      <c r="E2" s="52"/>
      <c r="F2" s="52"/>
      <c r="G2" s="52"/>
      <c r="H2" s="52"/>
      <c r="I2" s="52"/>
      <c r="J2" s="52"/>
      <c r="K2" s="52"/>
    </row>
    <row r="5" spans="1:11" ht="28.05" customHeight="1">
      <c r="A5" s="1" t="s">
        <v>561</v>
      </c>
      <c r="B5" s="2" t="s">
        <v>562</v>
      </c>
      <c r="C5" s="2" t="s">
        <v>355</v>
      </c>
      <c r="D5" s="2" t="s">
        <v>563</v>
      </c>
      <c r="E5" s="2" t="s">
        <v>564</v>
      </c>
      <c r="F5" s="2" t="s">
        <v>565</v>
      </c>
      <c r="G5" s="2" t="s">
        <v>566</v>
      </c>
      <c r="H5" s="2" t="s">
        <v>567</v>
      </c>
      <c r="I5" s="2" t="s">
        <v>7</v>
      </c>
      <c r="J5" s="2" t="s">
        <v>568</v>
      </c>
      <c r="K5" s="3" t="s">
        <v>569</v>
      </c>
    </row>
    <row r="6" spans="1:11" ht="22.8">
      <c r="A6" s="10" t="s">
        <v>570</v>
      </c>
      <c r="B6" s="10" t="s">
        <v>571</v>
      </c>
      <c r="C6" s="10" t="s">
        <v>572</v>
      </c>
      <c r="D6" s="10" t="s">
        <v>10</v>
      </c>
      <c r="E6" s="10" t="s">
        <v>573</v>
      </c>
      <c r="F6" s="10" t="s">
        <v>574</v>
      </c>
      <c r="G6" s="10" t="s">
        <v>575</v>
      </c>
      <c r="H6" s="10" t="s">
        <v>576</v>
      </c>
      <c r="I6" s="10" t="s">
        <v>577</v>
      </c>
      <c r="J6" s="10" t="s">
        <v>578</v>
      </c>
      <c r="K6" s="10"/>
    </row>
    <row r="7" spans="1:11" ht="22.8">
      <c r="A7" s="11" t="s">
        <v>81</v>
      </c>
      <c r="B7" s="11" t="s">
        <v>579</v>
      </c>
      <c r="C7" s="11" t="s">
        <v>572</v>
      </c>
      <c r="D7" s="11" t="s">
        <v>10</v>
      </c>
      <c r="E7" s="11" t="s">
        <v>580</v>
      </c>
      <c r="F7" s="11" t="s">
        <v>581</v>
      </c>
      <c r="G7" s="11" t="s">
        <v>582</v>
      </c>
      <c r="H7" s="11" t="s">
        <v>583</v>
      </c>
      <c r="I7" s="11" t="s">
        <v>577</v>
      </c>
      <c r="J7" s="11" t="s">
        <v>584</v>
      </c>
      <c r="K7" s="11"/>
    </row>
    <row r="8" spans="1:11" ht="22.8">
      <c r="A8" s="11" t="s">
        <v>87</v>
      </c>
      <c r="B8" s="11" t="s">
        <v>585</v>
      </c>
      <c r="C8" s="11" t="s">
        <v>572</v>
      </c>
      <c r="D8" s="11" t="s">
        <v>25</v>
      </c>
      <c r="E8" s="11" t="s">
        <v>586</v>
      </c>
      <c r="F8" s="11" t="s">
        <v>587</v>
      </c>
      <c r="G8" s="11" t="s">
        <v>588</v>
      </c>
      <c r="H8" s="11" t="s">
        <v>589</v>
      </c>
      <c r="I8" s="11" t="s">
        <v>577</v>
      </c>
      <c r="J8" s="11" t="s">
        <v>590</v>
      </c>
      <c r="K8" s="11"/>
    </row>
    <row r="9" spans="1:11" ht="22.8">
      <c r="A9" s="11" t="s">
        <v>119</v>
      </c>
      <c r="B9" s="11" t="s">
        <v>591</v>
      </c>
      <c r="C9" s="11" t="s">
        <v>572</v>
      </c>
      <c r="D9" s="11" t="s">
        <v>26</v>
      </c>
      <c r="E9" s="11" t="s">
        <v>592</v>
      </c>
      <c r="F9" s="11" t="s">
        <v>593</v>
      </c>
      <c r="G9" s="11" t="s">
        <v>594</v>
      </c>
      <c r="H9" s="11" t="s">
        <v>595</v>
      </c>
      <c r="I9" s="11" t="s">
        <v>577</v>
      </c>
      <c r="J9" s="11" t="s">
        <v>596</v>
      </c>
      <c r="K9" s="11"/>
    </row>
    <row r="10" spans="1:11" ht="22.8">
      <c r="A10" s="11" t="s">
        <v>131</v>
      </c>
      <c r="B10" s="11" t="s">
        <v>597</v>
      </c>
      <c r="C10" s="11" t="s">
        <v>572</v>
      </c>
      <c r="D10" s="11" t="s">
        <v>27</v>
      </c>
      <c r="E10" s="11" t="s">
        <v>598</v>
      </c>
      <c r="F10" s="11" t="s">
        <v>599</v>
      </c>
      <c r="G10" s="11" t="s">
        <v>600</v>
      </c>
      <c r="H10" s="11" t="s">
        <v>601</v>
      </c>
      <c r="I10" s="11" t="s">
        <v>577</v>
      </c>
      <c r="J10" s="11" t="s">
        <v>602</v>
      </c>
      <c r="K10" s="11"/>
    </row>
    <row r="11" spans="1:11" ht="22.8">
      <c r="A11" s="11" t="s">
        <v>106</v>
      </c>
      <c r="B11" s="11" t="s">
        <v>603</v>
      </c>
      <c r="C11" s="11" t="s">
        <v>572</v>
      </c>
      <c r="D11" s="11" t="s">
        <v>25</v>
      </c>
      <c r="E11" s="11" t="s">
        <v>604</v>
      </c>
      <c r="F11" s="11" t="s">
        <v>605</v>
      </c>
      <c r="G11" s="11" t="s">
        <v>606</v>
      </c>
      <c r="H11" s="11" t="s">
        <v>607</v>
      </c>
      <c r="I11" s="11" t="s">
        <v>577</v>
      </c>
      <c r="J11" s="11" t="s">
        <v>608</v>
      </c>
      <c r="K11" s="11"/>
    </row>
    <row r="12" spans="1:11" ht="22.8">
      <c r="A12" s="11" t="s">
        <v>99</v>
      </c>
      <c r="B12" s="11" t="s">
        <v>609</v>
      </c>
      <c r="C12" s="11" t="s">
        <v>572</v>
      </c>
      <c r="D12" s="11" t="s">
        <v>27</v>
      </c>
      <c r="E12" s="11" t="s">
        <v>610</v>
      </c>
      <c r="F12" s="11" t="s">
        <v>611</v>
      </c>
      <c r="G12" s="11" t="s">
        <v>612</v>
      </c>
      <c r="H12" s="11" t="s">
        <v>613</v>
      </c>
      <c r="I12" s="11" t="s">
        <v>577</v>
      </c>
      <c r="J12" s="11" t="s">
        <v>614</v>
      </c>
      <c r="K12" s="11"/>
    </row>
    <row r="13" spans="1:11" ht="22.8">
      <c r="A13" s="11" t="s">
        <v>167</v>
      </c>
      <c r="B13" s="11" t="s">
        <v>615</v>
      </c>
      <c r="C13" s="11" t="s">
        <v>572</v>
      </c>
      <c r="D13" s="11" t="s">
        <v>26</v>
      </c>
      <c r="E13" s="11" t="s">
        <v>616</v>
      </c>
      <c r="F13" s="11" t="s">
        <v>617</v>
      </c>
      <c r="G13" s="11" t="s">
        <v>618</v>
      </c>
      <c r="H13" s="11" t="s">
        <v>619</v>
      </c>
      <c r="I13" s="11" t="s">
        <v>577</v>
      </c>
      <c r="J13" s="11" t="s">
        <v>620</v>
      </c>
      <c r="K13" s="11"/>
    </row>
    <row r="14" spans="1:11" ht="22.8">
      <c r="A14" s="11" t="s">
        <v>621</v>
      </c>
      <c r="B14" s="11" t="s">
        <v>622</v>
      </c>
      <c r="C14" s="11" t="s">
        <v>572</v>
      </c>
      <c r="D14" s="11" t="s">
        <v>10</v>
      </c>
      <c r="E14" s="11" t="s">
        <v>623</v>
      </c>
      <c r="F14" s="11" t="s">
        <v>624</v>
      </c>
      <c r="G14" s="11" t="s">
        <v>625</v>
      </c>
      <c r="H14" s="11" t="s">
        <v>626</v>
      </c>
      <c r="I14" s="11" t="s">
        <v>577</v>
      </c>
      <c r="J14" s="11" t="s">
        <v>627</v>
      </c>
      <c r="K14" s="11"/>
    </row>
    <row r="15" spans="1:11" ht="22.8">
      <c r="A15" s="11" t="s">
        <v>628</v>
      </c>
      <c r="B15" s="11" t="s">
        <v>629</v>
      </c>
      <c r="C15" s="11" t="s">
        <v>572</v>
      </c>
      <c r="D15" s="11" t="s">
        <v>10</v>
      </c>
      <c r="E15" s="11" t="s">
        <v>630</v>
      </c>
      <c r="F15" s="11" t="s">
        <v>631</v>
      </c>
      <c r="G15" s="11" t="s">
        <v>632</v>
      </c>
      <c r="H15" s="11" t="s">
        <v>633</v>
      </c>
      <c r="I15" s="11" t="s">
        <v>577</v>
      </c>
      <c r="J15" s="11" t="s">
        <v>634</v>
      </c>
      <c r="K15" s="11"/>
    </row>
    <row r="16" spans="1:11" ht="22.8">
      <c r="A16" s="11" t="s">
        <v>635</v>
      </c>
      <c r="B16" s="11" t="s">
        <v>636</v>
      </c>
      <c r="C16" s="11" t="s">
        <v>572</v>
      </c>
      <c r="D16" s="11" t="s">
        <v>10</v>
      </c>
      <c r="E16" s="11" t="s">
        <v>637</v>
      </c>
      <c r="F16" s="11" t="s">
        <v>638</v>
      </c>
      <c r="G16" s="11" t="s">
        <v>639</v>
      </c>
      <c r="H16" s="11" t="s">
        <v>640</v>
      </c>
      <c r="I16" s="11" t="s">
        <v>577</v>
      </c>
      <c r="J16" s="11" t="s">
        <v>641</v>
      </c>
      <c r="K16" s="11"/>
    </row>
    <row r="17" spans="1:11" ht="22.8">
      <c r="A17" s="11" t="s">
        <v>642</v>
      </c>
      <c r="B17" s="11" t="s">
        <v>643</v>
      </c>
      <c r="C17" s="11" t="s">
        <v>572</v>
      </c>
      <c r="D17" s="11" t="s">
        <v>10</v>
      </c>
      <c r="E17" s="11" t="s">
        <v>644</v>
      </c>
      <c r="F17" s="11" t="s">
        <v>645</v>
      </c>
      <c r="G17" s="11" t="s">
        <v>646</v>
      </c>
      <c r="H17" s="11" t="s">
        <v>647</v>
      </c>
      <c r="I17" s="11" t="s">
        <v>577</v>
      </c>
      <c r="J17" s="11" t="s">
        <v>648</v>
      </c>
      <c r="K17" s="11"/>
    </row>
    <row r="18" spans="1:11" ht="22.8">
      <c r="A18" s="11" t="s">
        <v>649</v>
      </c>
      <c r="B18" s="11" t="s">
        <v>650</v>
      </c>
      <c r="C18" s="11" t="s">
        <v>572</v>
      </c>
      <c r="D18" s="11" t="s">
        <v>10</v>
      </c>
      <c r="E18" s="11" t="s">
        <v>651</v>
      </c>
      <c r="F18" s="11" t="s">
        <v>652</v>
      </c>
      <c r="G18" s="11" t="s">
        <v>653</v>
      </c>
      <c r="H18" s="11" t="s">
        <v>654</v>
      </c>
      <c r="I18" s="11" t="s">
        <v>577</v>
      </c>
      <c r="J18" s="11" t="s">
        <v>655</v>
      </c>
      <c r="K18" s="11"/>
    </row>
    <row r="19" spans="1:11" ht="22.8">
      <c r="A19" s="11" t="s">
        <v>656</v>
      </c>
      <c r="B19" s="11" t="s">
        <v>657</v>
      </c>
      <c r="C19" s="11" t="s">
        <v>572</v>
      </c>
      <c r="D19" s="11" t="s">
        <v>10</v>
      </c>
      <c r="E19" s="11" t="s">
        <v>658</v>
      </c>
      <c r="F19" s="11" t="s">
        <v>659</v>
      </c>
      <c r="G19" s="11" t="s">
        <v>660</v>
      </c>
      <c r="H19" s="11" t="s">
        <v>661</v>
      </c>
      <c r="I19" s="11" t="s">
        <v>577</v>
      </c>
      <c r="J19" s="11" t="s">
        <v>662</v>
      </c>
      <c r="K19" s="11"/>
    </row>
    <row r="20" spans="1:11">
      <c r="A20" s="11" t="s">
        <v>144</v>
      </c>
      <c r="B20" s="11" t="s">
        <v>663</v>
      </c>
      <c r="C20" s="11" t="s">
        <v>572</v>
      </c>
      <c r="D20" s="11" t="s">
        <v>29</v>
      </c>
      <c r="E20" s="11" t="s">
        <v>664</v>
      </c>
      <c r="F20" s="11" t="s">
        <v>665</v>
      </c>
      <c r="G20" s="11" t="s">
        <v>666</v>
      </c>
      <c r="H20" s="11" t="s">
        <v>667</v>
      </c>
      <c r="I20" s="11" t="s">
        <v>577</v>
      </c>
      <c r="J20" s="11" t="s">
        <v>668</v>
      </c>
      <c r="K20" s="11"/>
    </row>
    <row r="21" spans="1:11">
      <c r="A21" s="11" t="s">
        <v>669</v>
      </c>
      <c r="B21" s="11" t="s">
        <v>670</v>
      </c>
      <c r="C21" s="11" t="s">
        <v>572</v>
      </c>
      <c r="D21" s="11" t="s">
        <v>10</v>
      </c>
      <c r="E21" s="11" t="s">
        <v>671</v>
      </c>
      <c r="F21" s="11" t="s">
        <v>672</v>
      </c>
      <c r="G21" s="11" t="s">
        <v>673</v>
      </c>
      <c r="H21" s="11" t="s">
        <v>674</v>
      </c>
      <c r="I21" s="11" t="s">
        <v>577</v>
      </c>
      <c r="J21" s="11" t="s">
        <v>675</v>
      </c>
      <c r="K21" s="11"/>
    </row>
    <row r="22" spans="1:11" ht="22.8">
      <c r="A22" s="11" t="s">
        <v>676</v>
      </c>
      <c r="B22" s="11" t="s">
        <v>677</v>
      </c>
      <c r="C22" s="11" t="s">
        <v>572</v>
      </c>
      <c r="D22" s="11" t="s">
        <v>10</v>
      </c>
      <c r="E22" s="11" t="s">
        <v>678</v>
      </c>
      <c r="F22" s="11" t="s">
        <v>679</v>
      </c>
      <c r="G22" s="11" t="s">
        <v>680</v>
      </c>
      <c r="H22" s="11" t="s">
        <v>681</v>
      </c>
      <c r="I22" s="11" t="s">
        <v>577</v>
      </c>
      <c r="J22" s="11" t="s">
        <v>682</v>
      </c>
      <c r="K22" s="11"/>
    </row>
    <row r="23" spans="1:11" ht="22.8">
      <c r="A23" s="11" t="s">
        <v>683</v>
      </c>
      <c r="B23" s="11" t="s">
        <v>684</v>
      </c>
      <c r="C23" s="11" t="s">
        <v>572</v>
      </c>
      <c r="D23" s="11" t="s">
        <v>335</v>
      </c>
      <c r="E23" s="11" t="s">
        <v>685</v>
      </c>
      <c r="F23" s="11" t="s">
        <v>686</v>
      </c>
      <c r="G23" s="11" t="s">
        <v>687</v>
      </c>
      <c r="H23" s="11" t="s">
        <v>688</v>
      </c>
      <c r="I23" s="11" t="s">
        <v>577</v>
      </c>
      <c r="J23" s="11" t="s">
        <v>689</v>
      </c>
      <c r="K23" s="11"/>
    </row>
  </sheetData>
  <mergeCells count="2">
    <mergeCell ref="A1:K1"/>
    <mergeCell ref="A2:K2"/>
  </mergeCells>
  <conditionalFormatting sqref="C6:C23">
    <cfRule type="containsText" dxfId="26" priority="1" operator="containsText" text="Approved"/>
    <cfRule type="containsText" dxfId="25" priority="2" operator="containsText" text="Blocked"/>
    <cfRule type="containsText" dxfId="24" priority="3" operator="containsText" text="In Progress"/>
    <cfRule type="containsText" dxfId="23"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51" t="s">
        <v>690</v>
      </c>
      <c r="B1" s="51"/>
      <c r="C1" s="51"/>
      <c r="D1" s="51"/>
      <c r="E1" s="51"/>
      <c r="F1" s="51"/>
      <c r="G1" s="51"/>
      <c r="H1" s="51"/>
      <c r="I1" s="51"/>
      <c r="J1" s="51"/>
    </row>
    <row r="2" spans="1:10" ht="31.95" customHeight="1">
      <c r="A2" s="52" t="s">
        <v>691</v>
      </c>
      <c r="B2" s="52"/>
      <c r="C2" s="52"/>
      <c r="D2" s="52"/>
      <c r="E2" s="52"/>
      <c r="F2" s="52"/>
      <c r="G2" s="52"/>
      <c r="H2" s="52"/>
      <c r="I2" s="52"/>
      <c r="J2" s="52"/>
    </row>
    <row r="5" spans="1:10" ht="28.05" customHeight="1">
      <c r="A5" s="1" t="s">
        <v>692</v>
      </c>
      <c r="B5" s="2" t="s">
        <v>693</v>
      </c>
      <c r="C5" s="2" t="s">
        <v>694</v>
      </c>
      <c r="D5" s="2" t="s">
        <v>695</v>
      </c>
      <c r="E5" s="2" t="s">
        <v>696</v>
      </c>
      <c r="F5" s="2" t="s">
        <v>355</v>
      </c>
      <c r="G5" s="2" t="s">
        <v>7</v>
      </c>
      <c r="H5" s="2" t="s">
        <v>697</v>
      </c>
      <c r="I5" s="2" t="s">
        <v>698</v>
      </c>
      <c r="J5" s="3" t="s">
        <v>699</v>
      </c>
    </row>
    <row r="6" spans="1:10" ht="68.400000000000006" hidden="1">
      <c r="A6" s="10" t="s">
        <v>700</v>
      </c>
      <c r="B6" s="10" t="s">
        <v>701</v>
      </c>
      <c r="C6" s="19" t="s">
        <v>702</v>
      </c>
      <c r="D6" s="10" t="s">
        <v>10</v>
      </c>
      <c r="E6" s="10" t="s">
        <v>703</v>
      </c>
      <c r="F6" s="10" t="s">
        <v>15</v>
      </c>
      <c r="G6" s="10" t="s">
        <v>8</v>
      </c>
      <c r="H6" s="10" t="s">
        <v>548</v>
      </c>
      <c r="I6" s="19" t="s">
        <v>704</v>
      </c>
      <c r="J6" s="17">
        <v>46252</v>
      </c>
    </row>
    <row r="7" spans="1:10" ht="68.400000000000006" hidden="1">
      <c r="A7" s="11" t="s">
        <v>705</v>
      </c>
      <c r="B7" s="11" t="s">
        <v>706</v>
      </c>
      <c r="C7" s="20" t="s">
        <v>707</v>
      </c>
      <c r="D7" s="11" t="s">
        <v>10</v>
      </c>
      <c r="E7" s="11" t="s">
        <v>703</v>
      </c>
      <c r="F7" s="11" t="s">
        <v>15</v>
      </c>
      <c r="G7" s="11" t="s">
        <v>8</v>
      </c>
      <c r="H7" s="11" t="s">
        <v>548</v>
      </c>
      <c r="I7" s="20" t="s">
        <v>708</v>
      </c>
      <c r="J7" s="18">
        <v>46252</v>
      </c>
    </row>
    <row r="8" spans="1:10">
      <c r="A8" s="11" t="s">
        <v>709</v>
      </c>
      <c r="B8" s="11" t="s">
        <v>552</v>
      </c>
      <c r="C8" s="20" t="s">
        <v>710</v>
      </c>
      <c r="D8" s="11" t="s">
        <v>25</v>
      </c>
      <c r="E8" s="11" t="s">
        <v>703</v>
      </c>
      <c r="F8" s="11" t="s">
        <v>711</v>
      </c>
      <c r="G8" s="11" t="s">
        <v>577</v>
      </c>
      <c r="H8" s="11" t="s">
        <v>712</v>
      </c>
      <c r="I8" s="20"/>
      <c r="J8" s="18"/>
    </row>
    <row r="9" spans="1:10">
      <c r="A9" s="11" t="s">
        <v>713</v>
      </c>
      <c r="B9" s="11" t="s">
        <v>714</v>
      </c>
      <c r="C9" s="20" t="s">
        <v>715</v>
      </c>
      <c r="D9" s="11" t="s">
        <v>25</v>
      </c>
      <c r="E9" s="11" t="s">
        <v>703</v>
      </c>
      <c r="F9" s="11" t="s">
        <v>711</v>
      </c>
      <c r="G9" s="11" t="s">
        <v>577</v>
      </c>
      <c r="H9" s="11" t="s">
        <v>716</v>
      </c>
      <c r="I9" s="20"/>
      <c r="J9" s="18"/>
    </row>
    <row r="10" spans="1:10" hidden="1">
      <c r="A10" s="11" t="s">
        <v>717</v>
      </c>
      <c r="B10" s="11" t="s">
        <v>435</v>
      </c>
      <c r="C10" s="20" t="s">
        <v>718</v>
      </c>
      <c r="D10" s="11" t="s">
        <v>26</v>
      </c>
      <c r="E10" s="11" t="s">
        <v>703</v>
      </c>
      <c r="F10" s="11" t="s">
        <v>711</v>
      </c>
      <c r="G10" s="11" t="s">
        <v>577</v>
      </c>
      <c r="H10" s="11" t="s">
        <v>719</v>
      </c>
      <c r="I10" s="20"/>
      <c r="J10" s="18"/>
    </row>
    <row r="11" spans="1:10" hidden="1">
      <c r="A11" s="11" t="s">
        <v>720</v>
      </c>
      <c r="B11" s="11" t="s">
        <v>721</v>
      </c>
      <c r="C11" s="20" t="s">
        <v>722</v>
      </c>
      <c r="D11" s="11" t="s">
        <v>28</v>
      </c>
      <c r="E11" s="11" t="s">
        <v>703</v>
      </c>
      <c r="F11" s="11" t="s">
        <v>711</v>
      </c>
      <c r="G11" s="11" t="s">
        <v>577</v>
      </c>
      <c r="H11" s="11" t="s">
        <v>723</v>
      </c>
      <c r="I11" s="20"/>
      <c r="J11" s="18"/>
    </row>
    <row r="12" spans="1:10" ht="68.400000000000006" hidden="1">
      <c r="A12" s="11" t="s">
        <v>724</v>
      </c>
      <c r="B12" s="11" t="s">
        <v>721</v>
      </c>
      <c r="C12" s="20" t="s">
        <v>725</v>
      </c>
      <c r="D12" s="11" t="s">
        <v>10</v>
      </c>
      <c r="E12" s="11" t="s">
        <v>703</v>
      </c>
      <c r="F12" s="11" t="s">
        <v>15</v>
      </c>
      <c r="G12" s="11" t="s">
        <v>8</v>
      </c>
      <c r="H12" s="11" t="s">
        <v>726</v>
      </c>
      <c r="I12" s="20" t="s">
        <v>727</v>
      </c>
      <c r="J12" s="18">
        <v>46252</v>
      </c>
    </row>
    <row r="13" spans="1:10" ht="22.8" hidden="1">
      <c r="A13" s="11" t="s">
        <v>728</v>
      </c>
      <c r="B13" s="11" t="s">
        <v>729</v>
      </c>
      <c r="C13" s="20" t="s">
        <v>730</v>
      </c>
      <c r="D13" s="11" t="s">
        <v>28</v>
      </c>
      <c r="E13" s="11" t="s">
        <v>703</v>
      </c>
      <c r="F13" s="11" t="s">
        <v>711</v>
      </c>
      <c r="G13" s="11" t="s">
        <v>577</v>
      </c>
      <c r="H13" s="11" t="s">
        <v>731</v>
      </c>
      <c r="I13" s="20"/>
      <c r="J13" s="18"/>
    </row>
    <row r="14" spans="1:10" ht="91.2" hidden="1">
      <c r="A14" s="11" t="s">
        <v>732</v>
      </c>
      <c r="B14" s="11" t="s">
        <v>552</v>
      </c>
      <c r="C14" s="20" t="s">
        <v>733</v>
      </c>
      <c r="D14" s="11" t="s">
        <v>10</v>
      </c>
      <c r="E14" s="11" t="s">
        <v>703</v>
      </c>
      <c r="F14" s="11" t="s">
        <v>15</v>
      </c>
      <c r="G14" s="11" t="s">
        <v>8</v>
      </c>
      <c r="H14" s="11" t="s">
        <v>734</v>
      </c>
      <c r="I14" s="20" t="s">
        <v>735</v>
      </c>
      <c r="J14" s="18">
        <v>46252</v>
      </c>
    </row>
    <row r="15" spans="1:10" hidden="1">
      <c r="A15" s="11" t="s">
        <v>736</v>
      </c>
      <c r="B15" s="11" t="s">
        <v>377</v>
      </c>
      <c r="C15" s="20" t="s">
        <v>737</v>
      </c>
      <c r="D15" s="11" t="s">
        <v>28</v>
      </c>
      <c r="E15" s="11" t="s">
        <v>703</v>
      </c>
      <c r="F15" s="11" t="s">
        <v>711</v>
      </c>
      <c r="G15" s="11" t="s">
        <v>577</v>
      </c>
      <c r="H15" s="11" t="s">
        <v>731</v>
      </c>
      <c r="I15" s="20"/>
      <c r="J15" s="18"/>
    </row>
    <row r="16" spans="1:10" hidden="1">
      <c r="A16" s="11" t="s">
        <v>738</v>
      </c>
      <c r="B16" s="11" t="s">
        <v>739</v>
      </c>
      <c r="C16" s="20" t="s">
        <v>740</v>
      </c>
      <c r="D16" s="11" t="s">
        <v>28</v>
      </c>
      <c r="E16" s="11" t="s">
        <v>703</v>
      </c>
      <c r="F16" s="11" t="s">
        <v>711</v>
      </c>
      <c r="G16" s="11" t="s">
        <v>577</v>
      </c>
      <c r="H16" s="11" t="s">
        <v>741</v>
      </c>
      <c r="I16" s="20"/>
      <c r="J16" s="18"/>
    </row>
    <row r="17" spans="1:10" hidden="1">
      <c r="A17" s="11" t="s">
        <v>742</v>
      </c>
      <c r="B17" s="11" t="s">
        <v>743</v>
      </c>
      <c r="C17" s="20" t="s">
        <v>744</v>
      </c>
      <c r="D17" s="11" t="s">
        <v>26</v>
      </c>
      <c r="E17" s="11" t="s">
        <v>703</v>
      </c>
      <c r="F17" s="11" t="s">
        <v>711</v>
      </c>
      <c r="G17" s="11" t="s">
        <v>577</v>
      </c>
      <c r="H17" s="11" t="s">
        <v>745</v>
      </c>
      <c r="I17" s="20"/>
      <c r="J17" s="18"/>
    </row>
    <row r="18" spans="1:10">
      <c r="A18" s="11" t="s">
        <v>746</v>
      </c>
      <c r="B18" s="11" t="s">
        <v>743</v>
      </c>
      <c r="C18" s="20" t="s">
        <v>747</v>
      </c>
      <c r="D18" s="11" t="s">
        <v>25</v>
      </c>
      <c r="E18" s="11" t="s">
        <v>703</v>
      </c>
      <c r="F18" s="11" t="s">
        <v>711</v>
      </c>
      <c r="G18" s="11" t="s">
        <v>577</v>
      </c>
      <c r="H18" s="11" t="s">
        <v>235</v>
      </c>
      <c r="I18" s="20"/>
      <c r="J18" s="18"/>
    </row>
    <row r="19" spans="1:10">
      <c r="A19" s="11" t="s">
        <v>748</v>
      </c>
      <c r="B19" s="11" t="s">
        <v>496</v>
      </c>
      <c r="C19" s="20" t="s">
        <v>749</v>
      </c>
      <c r="D19" s="11" t="s">
        <v>25</v>
      </c>
      <c r="E19" s="11" t="s">
        <v>703</v>
      </c>
      <c r="F19" s="11" t="s">
        <v>711</v>
      </c>
      <c r="G19" s="11" t="s">
        <v>577</v>
      </c>
      <c r="H19" s="11" t="s">
        <v>750</v>
      </c>
      <c r="I19" s="20"/>
      <c r="J19" s="18"/>
    </row>
    <row r="20" spans="1:10" ht="79.8" hidden="1">
      <c r="A20" s="11" t="s">
        <v>751</v>
      </c>
      <c r="B20" s="11" t="s">
        <v>752</v>
      </c>
      <c r="C20" s="20" t="s">
        <v>753</v>
      </c>
      <c r="D20" s="11" t="s">
        <v>10</v>
      </c>
      <c r="E20" s="11" t="s">
        <v>754</v>
      </c>
      <c r="F20" s="11" t="s">
        <v>15</v>
      </c>
      <c r="G20" s="11" t="s">
        <v>8</v>
      </c>
      <c r="H20" s="11" t="s">
        <v>755</v>
      </c>
      <c r="I20" s="20" t="s">
        <v>756</v>
      </c>
      <c r="J20" s="18">
        <v>46252</v>
      </c>
    </row>
    <row r="21" spans="1:10" ht="22.8" hidden="1">
      <c r="A21" s="11" t="s">
        <v>757</v>
      </c>
      <c r="B21" s="11" t="s">
        <v>758</v>
      </c>
      <c r="C21" s="20" t="s">
        <v>759</v>
      </c>
      <c r="D21" s="11" t="s">
        <v>27</v>
      </c>
      <c r="E21" s="11" t="s">
        <v>703</v>
      </c>
      <c r="F21" s="11" t="s">
        <v>711</v>
      </c>
      <c r="G21" s="11" t="s">
        <v>577</v>
      </c>
      <c r="H21" s="11" t="s">
        <v>760</v>
      </c>
      <c r="I21" s="20"/>
      <c r="J21" s="18"/>
    </row>
    <row r="22" spans="1:10" hidden="1">
      <c r="A22" s="11" t="s">
        <v>761</v>
      </c>
      <c r="B22" s="11" t="s">
        <v>762</v>
      </c>
      <c r="C22" s="20" t="s">
        <v>763</v>
      </c>
      <c r="D22" s="11" t="s">
        <v>29</v>
      </c>
      <c r="E22" s="11" t="s">
        <v>703</v>
      </c>
      <c r="F22" s="11" t="s">
        <v>711</v>
      </c>
      <c r="G22" s="11" t="s">
        <v>577</v>
      </c>
      <c r="H22" s="11" t="s">
        <v>764</v>
      </c>
      <c r="I22" s="20"/>
      <c r="J22" s="18"/>
    </row>
    <row r="23" spans="1:10" hidden="1">
      <c r="A23" s="11" t="s">
        <v>765</v>
      </c>
      <c r="B23" s="11" t="s">
        <v>518</v>
      </c>
      <c r="C23" s="20" t="s">
        <v>766</v>
      </c>
      <c r="D23" s="11" t="s">
        <v>29</v>
      </c>
      <c r="E23" s="11" t="s">
        <v>703</v>
      </c>
      <c r="F23" s="11" t="s">
        <v>711</v>
      </c>
      <c r="G23" s="11" t="s">
        <v>577</v>
      </c>
      <c r="H23" s="11" t="s">
        <v>767</v>
      </c>
      <c r="I23" s="20"/>
      <c r="J23" s="18"/>
    </row>
    <row r="24" spans="1:10" ht="22.8" hidden="1">
      <c r="A24" s="11" t="s">
        <v>768</v>
      </c>
      <c r="B24" s="11" t="s">
        <v>769</v>
      </c>
      <c r="C24" s="20" t="s">
        <v>770</v>
      </c>
      <c r="D24" s="11" t="s">
        <v>27</v>
      </c>
      <c r="E24" s="11" t="s">
        <v>703</v>
      </c>
      <c r="F24" s="11" t="s">
        <v>711</v>
      </c>
      <c r="G24" s="11" t="s">
        <v>577</v>
      </c>
      <c r="H24" s="11" t="s">
        <v>771</v>
      </c>
      <c r="I24" s="20"/>
      <c r="J24" s="18"/>
    </row>
    <row r="25" spans="1:10" ht="22.8" hidden="1">
      <c r="A25" s="11" t="s">
        <v>772</v>
      </c>
      <c r="B25" s="11" t="s">
        <v>507</v>
      </c>
      <c r="C25" s="20" t="s">
        <v>773</v>
      </c>
      <c r="D25" s="11" t="s">
        <v>29</v>
      </c>
      <c r="E25" s="11" t="s">
        <v>703</v>
      </c>
      <c r="F25" s="11" t="s">
        <v>711</v>
      </c>
      <c r="G25" s="11" t="s">
        <v>577</v>
      </c>
      <c r="H25" s="11" t="s">
        <v>774</v>
      </c>
      <c r="I25" s="20"/>
      <c r="J25" s="18"/>
    </row>
    <row r="26" spans="1:10" hidden="1">
      <c r="A26" s="11" t="s">
        <v>775</v>
      </c>
      <c r="B26" s="11" t="s">
        <v>552</v>
      </c>
      <c r="C26" s="20" t="s">
        <v>776</v>
      </c>
      <c r="D26" s="11" t="s">
        <v>27</v>
      </c>
      <c r="E26" s="11" t="s">
        <v>754</v>
      </c>
      <c r="F26" s="11" t="s">
        <v>711</v>
      </c>
      <c r="G26" s="11" t="s">
        <v>577</v>
      </c>
      <c r="H26" s="11" t="s">
        <v>777</v>
      </c>
      <c r="I26" s="20"/>
      <c r="J26" s="18"/>
    </row>
    <row r="27" spans="1:10" ht="22.8" hidden="1">
      <c r="A27" s="11" t="s">
        <v>778</v>
      </c>
      <c r="B27" s="11" t="s">
        <v>524</v>
      </c>
      <c r="C27" s="20" t="s">
        <v>779</v>
      </c>
      <c r="D27" s="11" t="s">
        <v>29</v>
      </c>
      <c r="E27" s="11" t="s">
        <v>754</v>
      </c>
      <c r="F27" s="11" t="s">
        <v>711</v>
      </c>
      <c r="G27" s="11" t="s">
        <v>577</v>
      </c>
      <c r="H27" s="11" t="s">
        <v>780</v>
      </c>
      <c r="I27" s="20"/>
      <c r="J27" s="18"/>
    </row>
    <row r="28" spans="1:10" ht="68.400000000000006" hidden="1">
      <c r="A28" s="11" t="s">
        <v>781</v>
      </c>
      <c r="B28" s="11" t="s">
        <v>782</v>
      </c>
      <c r="C28" s="20" t="s">
        <v>783</v>
      </c>
      <c r="D28" s="11" t="s">
        <v>10</v>
      </c>
      <c r="E28" s="11" t="s">
        <v>703</v>
      </c>
      <c r="F28" s="11" t="s">
        <v>15</v>
      </c>
      <c r="G28" s="11" t="s">
        <v>8</v>
      </c>
      <c r="H28" s="11" t="s">
        <v>784</v>
      </c>
      <c r="I28" s="20" t="s">
        <v>785</v>
      </c>
      <c r="J28" s="18">
        <v>46252</v>
      </c>
    </row>
    <row r="29" spans="1:10" ht="22.8" hidden="1">
      <c r="A29" s="11" t="s">
        <v>786</v>
      </c>
      <c r="B29" s="11" t="s">
        <v>714</v>
      </c>
      <c r="C29" s="20" t="s">
        <v>787</v>
      </c>
      <c r="D29" s="11" t="s">
        <v>28</v>
      </c>
      <c r="E29" s="11" t="s">
        <v>703</v>
      </c>
      <c r="F29" s="11" t="s">
        <v>711</v>
      </c>
      <c r="G29" s="11" t="s">
        <v>577</v>
      </c>
      <c r="H29" s="11" t="s">
        <v>788</v>
      </c>
      <c r="I29" s="20"/>
      <c r="J29" s="18"/>
    </row>
    <row r="30" spans="1:10" ht="22.8" hidden="1">
      <c r="A30" s="11" t="s">
        <v>789</v>
      </c>
      <c r="B30" s="11" t="s">
        <v>790</v>
      </c>
      <c r="C30" s="20" t="s">
        <v>791</v>
      </c>
      <c r="D30" s="11" t="s">
        <v>26</v>
      </c>
      <c r="E30" s="11" t="s">
        <v>754</v>
      </c>
      <c r="F30" s="11" t="s">
        <v>711</v>
      </c>
      <c r="G30" s="11" t="s">
        <v>577</v>
      </c>
      <c r="H30" s="11" t="s">
        <v>792</v>
      </c>
      <c r="I30" s="20"/>
      <c r="J30" s="18"/>
    </row>
  </sheetData>
  <mergeCells count="2">
    <mergeCell ref="A1:J1"/>
    <mergeCell ref="A2:J2"/>
  </mergeCells>
  <conditionalFormatting sqref="F6:F30">
    <cfRule type="containsText" dxfId="22" priority="1" operator="containsText" text="Done"/>
    <cfRule type="containsText" dxfId="21" priority="2" operator="containsText" text="Blocked"/>
    <cfRule type="containsText" dxfId="20" priority="3" operator="containsText" text="In Progress"/>
    <cfRule type="containsText" dxfId="19"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51" t="s">
        <v>793</v>
      </c>
      <c r="B1" s="51"/>
      <c r="C1" s="51"/>
      <c r="D1" s="51"/>
      <c r="E1" s="51"/>
      <c r="F1" s="51"/>
      <c r="G1" s="51"/>
      <c r="H1" s="51"/>
      <c r="I1" s="51"/>
    </row>
    <row r="2" spans="1:9">
      <c r="A2" s="52" t="s">
        <v>2455</v>
      </c>
      <c r="B2" s="52"/>
      <c r="C2" s="52"/>
      <c r="D2" s="52"/>
      <c r="E2" s="52"/>
      <c r="F2" s="52"/>
      <c r="G2" s="52"/>
      <c r="H2" s="52"/>
      <c r="I2" s="52"/>
    </row>
    <row r="4" spans="1:9">
      <c r="A4" s="53" t="s">
        <v>794</v>
      </c>
      <c r="B4" s="54"/>
      <c r="C4" s="54"/>
      <c r="D4" s="54"/>
      <c r="E4" s="54"/>
      <c r="F4" s="54"/>
      <c r="G4" s="54"/>
      <c r="H4" s="54"/>
      <c r="I4" s="55"/>
    </row>
    <row r="5" spans="1:9" ht="26.4">
      <c r="A5" s="1" t="s">
        <v>795</v>
      </c>
      <c r="B5" s="2" t="s">
        <v>796</v>
      </c>
      <c r="C5" s="2" t="s">
        <v>797</v>
      </c>
      <c r="D5" s="3" t="s">
        <v>798</v>
      </c>
      <c r="F5" s="1" t="s">
        <v>799</v>
      </c>
      <c r="G5" s="2" t="s">
        <v>800</v>
      </c>
      <c r="H5" s="2" t="s">
        <v>801</v>
      </c>
      <c r="I5" s="3" t="s">
        <v>802</v>
      </c>
    </row>
    <row r="6" spans="1:9" ht="91.2">
      <c r="A6" s="10" t="s">
        <v>803</v>
      </c>
      <c r="B6" s="10" t="s">
        <v>804</v>
      </c>
      <c r="C6" s="10" t="s">
        <v>805</v>
      </c>
      <c r="D6" s="10" t="s">
        <v>806</v>
      </c>
      <c r="F6" s="10" t="s">
        <v>807</v>
      </c>
      <c r="G6" s="10" t="s">
        <v>808</v>
      </c>
      <c r="H6" s="10" t="s">
        <v>809</v>
      </c>
      <c r="I6" s="10" t="s">
        <v>810</v>
      </c>
    </row>
    <row r="7" spans="1:9" ht="125.4">
      <c r="A7" s="11" t="s">
        <v>811</v>
      </c>
      <c r="B7" s="11" t="s">
        <v>812</v>
      </c>
      <c r="C7" s="11" t="s">
        <v>813</v>
      </c>
      <c r="D7" s="11" t="s">
        <v>814</v>
      </c>
      <c r="F7" s="11" t="s">
        <v>815</v>
      </c>
      <c r="G7" s="11" t="s">
        <v>816</v>
      </c>
      <c r="H7" s="11" t="s">
        <v>817</v>
      </c>
      <c r="I7" s="11" t="s">
        <v>818</v>
      </c>
    </row>
    <row r="8" spans="1:9" ht="79.8">
      <c r="A8" s="11" t="s">
        <v>819</v>
      </c>
      <c r="B8" s="11" t="s">
        <v>820</v>
      </c>
      <c r="C8" s="11" t="s">
        <v>821</v>
      </c>
      <c r="D8" s="11" t="s">
        <v>822</v>
      </c>
      <c r="F8" s="11" t="s">
        <v>823</v>
      </c>
      <c r="G8" s="11" t="s">
        <v>195</v>
      </c>
      <c r="H8" s="11" t="s">
        <v>824</v>
      </c>
      <c r="I8" s="11" t="s">
        <v>825</v>
      </c>
    </row>
    <row r="11" spans="1:9">
      <c r="A11" s="1" t="s">
        <v>826</v>
      </c>
      <c r="B11" s="2" t="s">
        <v>827</v>
      </c>
      <c r="C11" s="2" t="s">
        <v>828</v>
      </c>
      <c r="D11" s="2" t="s">
        <v>829</v>
      </c>
      <c r="E11" s="3" t="s">
        <v>830</v>
      </c>
    </row>
    <row r="12" spans="1:9" ht="22.8">
      <c r="A12" s="10">
        <v>1</v>
      </c>
      <c r="B12" s="10" t="s">
        <v>831</v>
      </c>
      <c r="C12" s="10" t="s">
        <v>195</v>
      </c>
      <c r="D12" s="10" t="s">
        <v>832</v>
      </c>
      <c r="E12" s="10" t="s">
        <v>833</v>
      </c>
    </row>
    <row r="13" spans="1:9">
      <c r="A13" s="11">
        <v>2</v>
      </c>
      <c r="B13" s="11" t="s">
        <v>834</v>
      </c>
      <c r="C13" s="11" t="s">
        <v>835</v>
      </c>
      <c r="D13" s="11" t="s">
        <v>836</v>
      </c>
      <c r="E13" s="11" t="s">
        <v>837</v>
      </c>
    </row>
    <row r="14" spans="1:9">
      <c r="A14" s="11">
        <v>3</v>
      </c>
      <c r="B14" s="11" t="s">
        <v>838</v>
      </c>
      <c r="C14" s="11" t="s">
        <v>803</v>
      </c>
      <c r="D14" s="11" t="s">
        <v>839</v>
      </c>
      <c r="E14" s="11" t="s">
        <v>840</v>
      </c>
    </row>
    <row r="15" spans="1:9" ht="22.8">
      <c r="A15" s="11">
        <v>4</v>
      </c>
      <c r="B15" s="11" t="s">
        <v>841</v>
      </c>
      <c r="C15" s="11" t="s">
        <v>811</v>
      </c>
      <c r="D15" s="11" t="s">
        <v>842</v>
      </c>
      <c r="E15" s="11" t="s">
        <v>843</v>
      </c>
    </row>
    <row r="16" spans="1:9" ht="22.8">
      <c r="A16" s="11">
        <v>5</v>
      </c>
      <c r="B16" s="11" t="s">
        <v>844</v>
      </c>
      <c r="C16" s="11" t="s">
        <v>385</v>
      </c>
      <c r="D16" s="11" t="s">
        <v>845</v>
      </c>
      <c r="E16" s="11" t="s">
        <v>846</v>
      </c>
    </row>
    <row r="17" spans="1:9" ht="22.8">
      <c r="A17" s="11">
        <v>6</v>
      </c>
      <c r="B17" s="11" t="s">
        <v>847</v>
      </c>
      <c r="C17" s="11" t="s">
        <v>385</v>
      </c>
      <c r="D17" s="11" t="s">
        <v>848</v>
      </c>
      <c r="E17" s="11" t="s">
        <v>849</v>
      </c>
    </row>
    <row r="18" spans="1:9" ht="22.8">
      <c r="A18" s="11">
        <v>7</v>
      </c>
      <c r="B18" s="11" t="s">
        <v>850</v>
      </c>
      <c r="C18" s="11" t="s">
        <v>385</v>
      </c>
      <c r="D18" s="11" t="s">
        <v>851</v>
      </c>
      <c r="E18" s="11" t="s">
        <v>852</v>
      </c>
    </row>
    <row r="19" spans="1:9" ht="22.8">
      <c r="A19" s="11">
        <v>8</v>
      </c>
      <c r="B19" s="11" t="s">
        <v>853</v>
      </c>
      <c r="C19" s="11" t="s">
        <v>385</v>
      </c>
      <c r="D19" s="11" t="s">
        <v>854</v>
      </c>
      <c r="E19" s="11" t="s">
        <v>855</v>
      </c>
    </row>
    <row r="20" spans="1:9">
      <c r="A20" s="11">
        <v>9</v>
      </c>
      <c r="B20" s="11" t="s">
        <v>856</v>
      </c>
      <c r="C20" s="11" t="s">
        <v>385</v>
      </c>
      <c r="D20" s="11" t="s">
        <v>857</v>
      </c>
      <c r="E20" s="11" t="s">
        <v>858</v>
      </c>
    </row>
    <row r="21" spans="1:9" ht="22.8">
      <c r="A21" s="11">
        <v>10</v>
      </c>
      <c r="B21" s="11" t="s">
        <v>859</v>
      </c>
      <c r="C21" s="11" t="s">
        <v>385</v>
      </c>
      <c r="D21" s="11" t="s">
        <v>860</v>
      </c>
      <c r="E21" s="11" t="s">
        <v>861</v>
      </c>
    </row>
    <row r="22" spans="1:9" ht="22.8">
      <c r="A22" s="11">
        <v>11</v>
      </c>
      <c r="B22" s="11" t="s">
        <v>862</v>
      </c>
      <c r="C22" s="11" t="s">
        <v>385</v>
      </c>
      <c r="D22" s="11" t="s">
        <v>863</v>
      </c>
      <c r="E22" s="11" t="s">
        <v>864</v>
      </c>
    </row>
    <row r="23" spans="1:9">
      <c r="A23" s="11">
        <v>12</v>
      </c>
      <c r="B23" s="11" t="s">
        <v>865</v>
      </c>
      <c r="C23" s="11" t="s">
        <v>385</v>
      </c>
      <c r="D23" s="11" t="s">
        <v>866</v>
      </c>
      <c r="E23" s="11" t="s">
        <v>867</v>
      </c>
    </row>
    <row r="24" spans="1:9" ht="22.8">
      <c r="A24" s="11">
        <v>13</v>
      </c>
      <c r="B24" s="11" t="s">
        <v>868</v>
      </c>
      <c r="C24" s="11" t="s">
        <v>385</v>
      </c>
      <c r="D24" s="11" t="s">
        <v>869</v>
      </c>
      <c r="E24" s="11" t="s">
        <v>870</v>
      </c>
    </row>
    <row r="25" spans="1:9">
      <c r="A25" s="11">
        <v>14</v>
      </c>
      <c r="B25" s="11" t="s">
        <v>871</v>
      </c>
      <c r="C25" s="11" t="s">
        <v>385</v>
      </c>
      <c r="D25" s="11" t="s">
        <v>872</v>
      </c>
      <c r="E25" s="11" t="s">
        <v>873</v>
      </c>
    </row>
    <row r="26" spans="1:9">
      <c r="A26" s="11">
        <v>15</v>
      </c>
      <c r="B26" s="11" t="s">
        <v>874</v>
      </c>
      <c r="C26" s="11" t="s">
        <v>385</v>
      </c>
      <c r="D26" s="11" t="s">
        <v>875</v>
      </c>
      <c r="E26" s="11" t="s">
        <v>876</v>
      </c>
    </row>
    <row r="27" spans="1:9" ht="22.8">
      <c r="A27" s="11">
        <v>16</v>
      </c>
      <c r="B27" s="11" t="s">
        <v>877</v>
      </c>
      <c r="C27" s="11" t="s">
        <v>195</v>
      </c>
      <c r="D27" s="11" t="s">
        <v>878</v>
      </c>
      <c r="E27" s="11" t="s">
        <v>879</v>
      </c>
    </row>
    <row r="29" spans="1:9">
      <c r="A29" s="109" t="s">
        <v>880</v>
      </c>
      <c r="B29" s="110"/>
      <c r="C29" s="110"/>
      <c r="D29" s="110"/>
      <c r="E29" s="110"/>
      <c r="F29" s="110"/>
      <c r="G29" s="110"/>
      <c r="H29" s="110"/>
      <c r="I29" s="111"/>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51" t="s">
        <v>881</v>
      </c>
      <c r="B1" s="51"/>
      <c r="C1" s="51"/>
      <c r="D1" s="51"/>
      <c r="E1" s="51"/>
      <c r="F1" s="51"/>
      <c r="G1" s="51"/>
    </row>
    <row r="2" spans="1:7" ht="31.95" customHeight="1">
      <c r="A2" s="52" t="s">
        <v>882</v>
      </c>
      <c r="B2" s="52"/>
      <c r="C2" s="52"/>
      <c r="D2" s="52"/>
      <c r="E2" s="52"/>
      <c r="F2" s="52"/>
      <c r="G2" s="52"/>
    </row>
    <row r="5" spans="1:7" ht="28.05" customHeight="1">
      <c r="A5" s="1" t="s">
        <v>693</v>
      </c>
      <c r="B5" s="2" t="s">
        <v>883</v>
      </c>
      <c r="C5" s="2" t="s">
        <v>884</v>
      </c>
      <c r="D5" s="2" t="s">
        <v>885</v>
      </c>
      <c r="E5" s="2" t="s">
        <v>886</v>
      </c>
      <c r="F5" s="2" t="s">
        <v>887</v>
      </c>
      <c r="G5" s="3" t="s">
        <v>888</v>
      </c>
    </row>
    <row r="6" spans="1:7">
      <c r="A6" s="10" t="s">
        <v>889</v>
      </c>
      <c r="B6" s="10" t="s">
        <v>890</v>
      </c>
      <c r="C6" s="10" t="s">
        <v>891</v>
      </c>
      <c r="D6" s="10" t="s">
        <v>335</v>
      </c>
      <c r="E6" s="10" t="s">
        <v>892</v>
      </c>
      <c r="F6" s="10" t="s">
        <v>893</v>
      </c>
      <c r="G6" s="10" t="s">
        <v>894</v>
      </c>
    </row>
    <row r="7" spans="1:7">
      <c r="A7" s="11" t="s">
        <v>889</v>
      </c>
      <c r="B7" s="11" t="s">
        <v>895</v>
      </c>
      <c r="C7" s="11" t="s">
        <v>891</v>
      </c>
      <c r="D7" s="11" t="s">
        <v>896</v>
      </c>
      <c r="E7" s="11" t="s">
        <v>897</v>
      </c>
      <c r="F7" s="11" t="s">
        <v>898</v>
      </c>
      <c r="G7" s="11" t="s">
        <v>899</v>
      </c>
    </row>
    <row r="8" spans="1:7">
      <c r="A8" s="11" t="s">
        <v>889</v>
      </c>
      <c r="B8" s="11" t="s">
        <v>900</v>
      </c>
      <c r="C8" s="11" t="s">
        <v>891</v>
      </c>
      <c r="D8" s="11" t="s">
        <v>896</v>
      </c>
      <c r="E8" s="11" t="s">
        <v>901</v>
      </c>
      <c r="F8" s="11" t="s">
        <v>902</v>
      </c>
      <c r="G8" s="11" t="s">
        <v>903</v>
      </c>
    </row>
    <row r="9" spans="1:7">
      <c r="A9" s="11" t="s">
        <v>889</v>
      </c>
      <c r="B9" s="11" t="s">
        <v>904</v>
      </c>
      <c r="C9" s="11" t="s">
        <v>891</v>
      </c>
      <c r="D9" s="11" t="s">
        <v>896</v>
      </c>
      <c r="E9" s="11" t="s">
        <v>905</v>
      </c>
      <c r="F9" s="11" t="s">
        <v>906</v>
      </c>
      <c r="G9" s="11" t="s">
        <v>907</v>
      </c>
    </row>
    <row r="10" spans="1:7">
      <c r="A10" s="11" t="s">
        <v>889</v>
      </c>
      <c r="B10" s="11" t="s">
        <v>908</v>
      </c>
      <c r="C10" s="11" t="s">
        <v>891</v>
      </c>
      <c r="D10" s="11" t="s">
        <v>896</v>
      </c>
      <c r="E10" s="11" t="s">
        <v>909</v>
      </c>
      <c r="F10" s="11" t="s">
        <v>910</v>
      </c>
      <c r="G10" s="11" t="s">
        <v>911</v>
      </c>
    </row>
    <row r="11" spans="1:7">
      <c r="A11" s="11" t="s">
        <v>912</v>
      </c>
      <c r="B11" s="11" t="s">
        <v>913</v>
      </c>
      <c r="C11" s="11" t="s">
        <v>914</v>
      </c>
      <c r="D11" s="11" t="s">
        <v>915</v>
      </c>
      <c r="E11" s="11" t="s">
        <v>916</v>
      </c>
      <c r="F11" s="11" t="s">
        <v>917</v>
      </c>
      <c r="G11" s="11" t="s">
        <v>918</v>
      </c>
    </row>
    <row r="12" spans="1:7">
      <c r="A12" s="11" t="s">
        <v>912</v>
      </c>
      <c r="B12" s="11" t="s">
        <v>919</v>
      </c>
      <c r="C12" s="11" t="s">
        <v>914</v>
      </c>
      <c r="D12" s="11" t="s">
        <v>27</v>
      </c>
      <c r="E12" s="11" t="s">
        <v>920</v>
      </c>
      <c r="F12" s="11" t="s">
        <v>921</v>
      </c>
      <c r="G12" s="11" t="s">
        <v>922</v>
      </c>
    </row>
    <row r="13" spans="1:7">
      <c r="A13" s="11" t="s">
        <v>923</v>
      </c>
      <c r="B13" s="11" t="s">
        <v>924</v>
      </c>
      <c r="C13" s="11" t="s">
        <v>891</v>
      </c>
      <c r="D13" s="11" t="s">
        <v>335</v>
      </c>
      <c r="E13" s="11" t="s">
        <v>925</v>
      </c>
      <c r="F13" s="11" t="s">
        <v>926</v>
      </c>
      <c r="G13" s="11" t="s">
        <v>927</v>
      </c>
    </row>
    <row r="14" spans="1:7">
      <c r="A14" s="11" t="s">
        <v>923</v>
      </c>
      <c r="B14" s="11" t="s">
        <v>928</v>
      </c>
      <c r="C14" s="11" t="s">
        <v>891</v>
      </c>
      <c r="D14" s="11" t="s">
        <v>335</v>
      </c>
      <c r="E14" s="11" t="s">
        <v>929</v>
      </c>
      <c r="F14" s="11" t="s">
        <v>930</v>
      </c>
      <c r="G14" s="11" t="s">
        <v>931</v>
      </c>
    </row>
    <row r="15" spans="1:7">
      <c r="A15" s="11" t="s">
        <v>923</v>
      </c>
      <c r="B15" s="11" t="s">
        <v>932</v>
      </c>
      <c r="C15" s="11" t="s">
        <v>891</v>
      </c>
      <c r="D15" s="11" t="s">
        <v>933</v>
      </c>
      <c r="E15" s="11" t="s">
        <v>934</v>
      </c>
      <c r="F15" s="11" t="s">
        <v>935</v>
      </c>
      <c r="G15" s="11" t="s">
        <v>936</v>
      </c>
    </row>
    <row r="16" spans="1:7">
      <c r="A16" s="11" t="s">
        <v>923</v>
      </c>
      <c r="B16" s="11" t="s">
        <v>937</v>
      </c>
      <c r="C16" s="11" t="s">
        <v>891</v>
      </c>
      <c r="D16" s="11" t="s">
        <v>938</v>
      </c>
      <c r="E16" s="11" t="s">
        <v>939</v>
      </c>
      <c r="F16" s="11" t="s">
        <v>940</v>
      </c>
      <c r="G16" s="11" t="s">
        <v>941</v>
      </c>
    </row>
    <row r="17" spans="1:7">
      <c r="A17" s="11" t="s">
        <v>942</v>
      </c>
      <c r="B17" s="11" t="s">
        <v>943</v>
      </c>
      <c r="C17" s="11" t="s">
        <v>891</v>
      </c>
      <c r="D17" s="11" t="s">
        <v>944</v>
      </c>
      <c r="E17" s="11" t="s">
        <v>945</v>
      </c>
      <c r="F17" s="11" t="s">
        <v>946</v>
      </c>
      <c r="G17" s="11" t="s">
        <v>947</v>
      </c>
    </row>
    <row r="18" spans="1:7" ht="22.8">
      <c r="A18" s="11" t="s">
        <v>948</v>
      </c>
      <c r="B18" s="11" t="s">
        <v>949</v>
      </c>
      <c r="C18" s="11" t="s">
        <v>914</v>
      </c>
      <c r="D18" s="11" t="s">
        <v>26</v>
      </c>
      <c r="E18" s="11" t="s">
        <v>950</v>
      </c>
      <c r="F18" s="11" t="s">
        <v>951</v>
      </c>
      <c r="G18" s="11" t="s">
        <v>952</v>
      </c>
    </row>
    <row r="19" spans="1:7">
      <c r="A19" s="11" t="s">
        <v>948</v>
      </c>
      <c r="B19" s="11" t="s">
        <v>953</v>
      </c>
      <c r="C19" s="11" t="s">
        <v>954</v>
      </c>
      <c r="D19" s="11" t="s">
        <v>335</v>
      </c>
      <c r="E19" s="11" t="s">
        <v>955</v>
      </c>
      <c r="F19" s="11" t="s">
        <v>956</v>
      </c>
      <c r="G19" s="11" t="s">
        <v>957</v>
      </c>
    </row>
    <row r="20" spans="1:7">
      <c r="A20" s="11" t="s">
        <v>435</v>
      </c>
      <c r="B20" s="11" t="s">
        <v>958</v>
      </c>
      <c r="C20" s="11" t="s">
        <v>914</v>
      </c>
      <c r="D20" s="11" t="s">
        <v>26</v>
      </c>
      <c r="E20" s="11" t="s">
        <v>959</v>
      </c>
      <c r="F20" s="11" t="s">
        <v>960</v>
      </c>
      <c r="G20" s="11" t="s">
        <v>961</v>
      </c>
    </row>
    <row r="21" spans="1:7">
      <c r="A21" s="11" t="s">
        <v>435</v>
      </c>
      <c r="B21" s="11" t="s">
        <v>962</v>
      </c>
      <c r="C21" s="11" t="s">
        <v>914</v>
      </c>
      <c r="D21" s="11" t="s">
        <v>26</v>
      </c>
      <c r="E21" s="11" t="s">
        <v>963</v>
      </c>
      <c r="F21" s="11" t="s">
        <v>964</v>
      </c>
      <c r="G21" s="11" t="s">
        <v>965</v>
      </c>
    </row>
    <row r="22" spans="1:7">
      <c r="A22" s="11" t="s">
        <v>435</v>
      </c>
      <c r="B22" s="11" t="s">
        <v>966</v>
      </c>
      <c r="C22" s="11" t="s">
        <v>954</v>
      </c>
      <c r="D22" s="11" t="s">
        <v>335</v>
      </c>
      <c r="E22" s="11" t="s">
        <v>967</v>
      </c>
      <c r="F22" s="11" t="s">
        <v>968</v>
      </c>
      <c r="G22" s="11" t="s">
        <v>969</v>
      </c>
    </row>
    <row r="23" spans="1:7">
      <c r="A23" s="11" t="s">
        <v>970</v>
      </c>
      <c r="B23" s="11" t="s">
        <v>971</v>
      </c>
      <c r="C23" s="11" t="s">
        <v>914</v>
      </c>
      <c r="D23" s="11" t="s">
        <v>27</v>
      </c>
      <c r="E23" s="11" t="s">
        <v>972</v>
      </c>
      <c r="F23" s="11" t="s">
        <v>973</v>
      </c>
      <c r="G23" s="11" t="s">
        <v>974</v>
      </c>
    </row>
    <row r="24" spans="1:7">
      <c r="A24" s="11" t="s">
        <v>970</v>
      </c>
      <c r="B24" s="11" t="s">
        <v>975</v>
      </c>
      <c r="C24" s="11" t="s">
        <v>891</v>
      </c>
      <c r="D24" s="11" t="s">
        <v>976</v>
      </c>
      <c r="E24" s="11" t="s">
        <v>977</v>
      </c>
      <c r="F24" s="11" t="s">
        <v>978</v>
      </c>
      <c r="G24" s="11" t="s">
        <v>979</v>
      </c>
    </row>
    <row r="25" spans="1:7">
      <c r="A25" s="11" t="s">
        <v>970</v>
      </c>
      <c r="B25" s="11" t="s">
        <v>980</v>
      </c>
      <c r="C25" s="11" t="s">
        <v>891</v>
      </c>
      <c r="D25" s="11" t="s">
        <v>976</v>
      </c>
      <c r="E25" s="11" t="s">
        <v>981</v>
      </c>
      <c r="F25" s="11" t="s">
        <v>982</v>
      </c>
      <c r="G25" s="11" t="s">
        <v>983</v>
      </c>
    </row>
    <row r="26" spans="1:7">
      <c r="A26" s="11" t="s">
        <v>970</v>
      </c>
      <c r="B26" s="11" t="s">
        <v>984</v>
      </c>
      <c r="C26" s="11" t="s">
        <v>891</v>
      </c>
      <c r="D26" s="11" t="s">
        <v>896</v>
      </c>
      <c r="E26" s="11" t="s">
        <v>985</v>
      </c>
      <c r="F26" s="11" t="s">
        <v>986</v>
      </c>
      <c r="G26" s="11" t="s">
        <v>987</v>
      </c>
    </row>
    <row r="27" spans="1:7">
      <c r="A27" s="11" t="s">
        <v>988</v>
      </c>
      <c r="B27" s="11" t="s">
        <v>989</v>
      </c>
      <c r="C27" s="11" t="s">
        <v>914</v>
      </c>
      <c r="D27" s="11" t="s">
        <v>166</v>
      </c>
      <c r="E27" s="11" t="s">
        <v>990</v>
      </c>
      <c r="F27" s="11" t="s">
        <v>960</v>
      </c>
      <c r="G27" s="11" t="s">
        <v>991</v>
      </c>
    </row>
    <row r="28" spans="1:7">
      <c r="A28" s="11" t="s">
        <v>988</v>
      </c>
      <c r="B28" s="11" t="s">
        <v>992</v>
      </c>
      <c r="C28" s="11" t="s">
        <v>891</v>
      </c>
      <c r="D28" s="11" t="s">
        <v>993</v>
      </c>
      <c r="E28" s="11" t="s">
        <v>994</v>
      </c>
      <c r="F28" s="11" t="s">
        <v>995</v>
      </c>
      <c r="G28" s="11" t="s">
        <v>996</v>
      </c>
    </row>
    <row r="29" spans="1:7">
      <c r="A29" s="11" t="s">
        <v>997</v>
      </c>
      <c r="B29" s="11" t="s">
        <v>998</v>
      </c>
      <c r="C29" s="11" t="s">
        <v>954</v>
      </c>
      <c r="D29" s="11" t="s">
        <v>999</v>
      </c>
      <c r="E29" s="11" t="s">
        <v>1000</v>
      </c>
      <c r="F29" s="11" t="s">
        <v>1001</v>
      </c>
      <c r="G29" s="11" t="s">
        <v>1002</v>
      </c>
    </row>
    <row r="30" spans="1:7">
      <c r="A30" s="11" t="s">
        <v>997</v>
      </c>
      <c r="B30" s="11" t="s">
        <v>1003</v>
      </c>
      <c r="C30" s="11" t="s">
        <v>891</v>
      </c>
      <c r="D30" s="11" t="s">
        <v>999</v>
      </c>
      <c r="E30" s="11" t="s">
        <v>1004</v>
      </c>
      <c r="F30" s="11" t="s">
        <v>1005</v>
      </c>
      <c r="G30" s="11" t="s">
        <v>1006</v>
      </c>
    </row>
    <row r="31" spans="1:7">
      <c r="A31" s="11" t="s">
        <v>1007</v>
      </c>
      <c r="B31" s="11" t="s">
        <v>1008</v>
      </c>
      <c r="C31" s="11" t="s">
        <v>891</v>
      </c>
      <c r="D31" s="11" t="s">
        <v>1009</v>
      </c>
      <c r="E31" s="11" t="s">
        <v>1010</v>
      </c>
      <c r="F31" s="11" t="s">
        <v>1011</v>
      </c>
      <c r="G31" s="11" t="s">
        <v>1012</v>
      </c>
    </row>
    <row r="32" spans="1:7">
      <c r="A32" s="11" t="s">
        <v>1013</v>
      </c>
      <c r="B32" s="11" t="s">
        <v>1014</v>
      </c>
      <c r="C32" s="11" t="s">
        <v>914</v>
      </c>
      <c r="D32" s="11" t="s">
        <v>25</v>
      </c>
      <c r="E32" s="11" t="s">
        <v>1015</v>
      </c>
      <c r="F32" s="11" t="s">
        <v>1016</v>
      </c>
      <c r="G32" s="11" t="s">
        <v>1017</v>
      </c>
    </row>
    <row r="33" spans="1:7">
      <c r="A33" s="11" t="s">
        <v>1013</v>
      </c>
      <c r="B33" s="11" t="s">
        <v>1018</v>
      </c>
      <c r="C33" s="11" t="s">
        <v>891</v>
      </c>
      <c r="D33" s="11" t="s">
        <v>933</v>
      </c>
      <c r="E33" s="11" t="s">
        <v>1019</v>
      </c>
      <c r="F33" s="11" t="s">
        <v>1020</v>
      </c>
      <c r="G33" s="11" t="s">
        <v>1021</v>
      </c>
    </row>
    <row r="34" spans="1:7">
      <c r="A34" s="11" t="s">
        <v>1022</v>
      </c>
      <c r="B34" s="11" t="s">
        <v>84</v>
      </c>
      <c r="C34" s="11" t="s">
        <v>914</v>
      </c>
      <c r="D34" s="11" t="s">
        <v>25</v>
      </c>
      <c r="E34" s="11" t="s">
        <v>1023</v>
      </c>
      <c r="F34" s="11" t="s">
        <v>1024</v>
      </c>
      <c r="G34" s="11" t="s">
        <v>1025</v>
      </c>
    </row>
    <row r="35" spans="1:7" ht="22.8">
      <c r="A35" s="11" t="s">
        <v>1022</v>
      </c>
      <c r="B35" s="11" t="s">
        <v>90</v>
      </c>
      <c r="C35" s="11" t="s">
        <v>1026</v>
      </c>
      <c r="D35" s="11" t="s">
        <v>28</v>
      </c>
      <c r="E35" s="11" t="s">
        <v>1027</v>
      </c>
      <c r="F35" s="11" t="s">
        <v>1028</v>
      </c>
      <c r="G35" s="11" t="s">
        <v>1029</v>
      </c>
    </row>
    <row r="36" spans="1:7">
      <c r="A36" s="11" t="s">
        <v>1022</v>
      </c>
      <c r="B36" s="11" t="s">
        <v>1030</v>
      </c>
      <c r="C36" s="11" t="s">
        <v>891</v>
      </c>
      <c r="D36" s="11" t="s">
        <v>1031</v>
      </c>
      <c r="E36" s="11" t="s">
        <v>1032</v>
      </c>
      <c r="F36" s="11" t="s">
        <v>1033</v>
      </c>
      <c r="G36" s="11" t="s">
        <v>1034</v>
      </c>
    </row>
    <row r="37" spans="1:7">
      <c r="A37" s="11" t="s">
        <v>1022</v>
      </c>
      <c r="B37" s="11" t="s">
        <v>1035</v>
      </c>
      <c r="C37" s="11" t="s">
        <v>891</v>
      </c>
      <c r="D37" s="11" t="s">
        <v>1036</v>
      </c>
      <c r="E37" s="11" t="s">
        <v>1037</v>
      </c>
      <c r="F37" s="11" t="s">
        <v>1033</v>
      </c>
      <c r="G37" s="11" t="s">
        <v>1038</v>
      </c>
    </row>
    <row r="38" spans="1:7">
      <c r="A38" s="11" t="s">
        <v>1022</v>
      </c>
      <c r="B38" s="11" t="s">
        <v>1039</v>
      </c>
      <c r="C38" s="11" t="s">
        <v>891</v>
      </c>
      <c r="D38" s="11" t="s">
        <v>1040</v>
      </c>
      <c r="E38" s="11" t="s">
        <v>1041</v>
      </c>
      <c r="F38" s="11" t="s">
        <v>1042</v>
      </c>
      <c r="G38" s="11" t="s">
        <v>1043</v>
      </c>
    </row>
    <row r="39" spans="1:7">
      <c r="A39" s="11" t="s">
        <v>1022</v>
      </c>
      <c r="B39" s="11" t="s">
        <v>1044</v>
      </c>
      <c r="C39" s="11" t="s">
        <v>891</v>
      </c>
      <c r="D39" s="11" t="s">
        <v>1045</v>
      </c>
      <c r="E39" s="11" t="s">
        <v>1046</v>
      </c>
      <c r="F39" s="11" t="s">
        <v>1042</v>
      </c>
      <c r="G39" s="11" t="s">
        <v>1047</v>
      </c>
    </row>
    <row r="40" spans="1:7">
      <c r="A40" s="11" t="s">
        <v>1022</v>
      </c>
      <c r="B40" s="11" t="s">
        <v>1048</v>
      </c>
      <c r="C40" s="11" t="s">
        <v>891</v>
      </c>
      <c r="D40" s="11" t="s">
        <v>1049</v>
      </c>
      <c r="E40" s="11" t="s">
        <v>1050</v>
      </c>
      <c r="F40" s="11" t="s">
        <v>1042</v>
      </c>
      <c r="G40" s="11" t="s">
        <v>1051</v>
      </c>
    </row>
    <row r="41" spans="1:7">
      <c r="A41" s="11" t="s">
        <v>1052</v>
      </c>
      <c r="B41" s="11" t="s">
        <v>1053</v>
      </c>
      <c r="C41" s="11" t="s">
        <v>954</v>
      </c>
      <c r="D41" s="11" t="s">
        <v>1054</v>
      </c>
      <c r="E41" s="11" t="s">
        <v>1055</v>
      </c>
      <c r="F41" s="11" t="s">
        <v>1056</v>
      </c>
      <c r="G41" s="11" t="s">
        <v>1057</v>
      </c>
    </row>
    <row r="42" spans="1:7">
      <c r="A42" s="11" t="s">
        <v>1052</v>
      </c>
      <c r="B42" s="11" t="s">
        <v>1058</v>
      </c>
      <c r="C42" s="11" t="s">
        <v>891</v>
      </c>
      <c r="D42" s="11" t="s">
        <v>1059</v>
      </c>
      <c r="E42" s="11" t="s">
        <v>1060</v>
      </c>
      <c r="F42" s="11" t="s">
        <v>1061</v>
      </c>
      <c r="G42" s="11" t="s">
        <v>1062</v>
      </c>
    </row>
    <row r="43" spans="1:7">
      <c r="A43" s="11" t="s">
        <v>1052</v>
      </c>
      <c r="B43" s="11" t="s">
        <v>1063</v>
      </c>
      <c r="C43" s="11" t="s">
        <v>891</v>
      </c>
      <c r="D43" s="11" t="s">
        <v>1064</v>
      </c>
      <c r="E43" s="11" t="s">
        <v>1065</v>
      </c>
      <c r="F43" s="11" t="s">
        <v>1066</v>
      </c>
      <c r="G43" s="11" t="s">
        <v>1067</v>
      </c>
    </row>
    <row r="44" spans="1:7">
      <c r="A44" s="11" t="s">
        <v>1068</v>
      </c>
      <c r="B44" s="11" t="s">
        <v>1069</v>
      </c>
      <c r="C44" s="11" t="s">
        <v>954</v>
      </c>
      <c r="D44" s="11" t="s">
        <v>1054</v>
      </c>
      <c r="E44" s="11" t="s">
        <v>1070</v>
      </c>
      <c r="F44" s="11" t="s">
        <v>1071</v>
      </c>
      <c r="G44" s="11" t="s">
        <v>1072</v>
      </c>
    </row>
    <row r="45" spans="1:7">
      <c r="A45" s="11" t="s">
        <v>1068</v>
      </c>
      <c r="B45" s="11" t="s">
        <v>1073</v>
      </c>
      <c r="C45" s="11" t="s">
        <v>891</v>
      </c>
      <c r="D45" s="11" t="s">
        <v>1064</v>
      </c>
      <c r="E45" s="11" t="s">
        <v>1074</v>
      </c>
      <c r="F45" s="11" t="s">
        <v>1075</v>
      </c>
      <c r="G45" s="11" t="s">
        <v>1076</v>
      </c>
    </row>
    <row r="46" spans="1:7">
      <c r="A46" s="11" t="s">
        <v>1068</v>
      </c>
      <c r="B46" s="11" t="s">
        <v>1077</v>
      </c>
      <c r="C46" s="11" t="s">
        <v>891</v>
      </c>
      <c r="D46" s="11" t="s">
        <v>1064</v>
      </c>
      <c r="E46" s="11" t="s">
        <v>1078</v>
      </c>
      <c r="F46" s="11" t="s">
        <v>1079</v>
      </c>
      <c r="G46" s="11" t="s">
        <v>1080</v>
      </c>
    </row>
    <row r="47" spans="1:7">
      <c r="A47" s="11" t="s">
        <v>1081</v>
      </c>
      <c r="B47" s="11" t="s">
        <v>1082</v>
      </c>
      <c r="C47" s="11" t="s">
        <v>954</v>
      </c>
      <c r="D47" s="11" t="s">
        <v>1054</v>
      </c>
      <c r="E47" s="11" t="s">
        <v>1083</v>
      </c>
      <c r="F47" s="11" t="s">
        <v>1084</v>
      </c>
      <c r="G47" s="11" t="s">
        <v>1085</v>
      </c>
    </row>
    <row r="48" spans="1:7">
      <c r="A48" s="11" t="s">
        <v>1081</v>
      </c>
      <c r="B48" s="11" t="s">
        <v>1086</v>
      </c>
      <c r="C48" s="11" t="s">
        <v>891</v>
      </c>
      <c r="D48" s="11" t="s">
        <v>1087</v>
      </c>
      <c r="E48" s="11" t="s">
        <v>1088</v>
      </c>
      <c r="F48" s="11" t="s">
        <v>1089</v>
      </c>
      <c r="G48" s="11" t="s">
        <v>1090</v>
      </c>
    </row>
    <row r="49" spans="1:7">
      <c r="A49" s="11" t="s">
        <v>552</v>
      </c>
      <c r="B49" s="11" t="s">
        <v>1091</v>
      </c>
      <c r="C49" s="11" t="s">
        <v>914</v>
      </c>
      <c r="D49" s="11" t="s">
        <v>25</v>
      </c>
      <c r="E49" s="11" t="s">
        <v>1092</v>
      </c>
      <c r="F49" s="11" t="s">
        <v>1093</v>
      </c>
      <c r="G49" s="11" t="s">
        <v>1094</v>
      </c>
    </row>
    <row r="50" spans="1:7">
      <c r="A50" s="11" t="s">
        <v>552</v>
      </c>
      <c r="B50" s="11" t="s">
        <v>1095</v>
      </c>
      <c r="C50" s="11" t="s">
        <v>954</v>
      </c>
      <c r="D50" s="11" t="s">
        <v>1054</v>
      </c>
      <c r="E50" s="11" t="s">
        <v>1096</v>
      </c>
      <c r="F50" s="11" t="s">
        <v>1097</v>
      </c>
      <c r="G50" s="11" t="s">
        <v>1098</v>
      </c>
    </row>
    <row r="51" spans="1:7">
      <c r="A51" s="11" t="s">
        <v>1099</v>
      </c>
      <c r="B51" s="11" t="s">
        <v>141</v>
      </c>
      <c r="C51" s="11" t="s">
        <v>1100</v>
      </c>
      <c r="D51" s="11" t="s">
        <v>29</v>
      </c>
      <c r="E51" s="11" t="s">
        <v>1101</v>
      </c>
      <c r="F51" s="11" t="s">
        <v>1102</v>
      </c>
      <c r="G51" s="11" t="s">
        <v>1103</v>
      </c>
    </row>
    <row r="52" spans="1:7">
      <c r="A52" s="11" t="s">
        <v>1099</v>
      </c>
      <c r="B52" s="11" t="s">
        <v>1104</v>
      </c>
      <c r="C52" s="11" t="s">
        <v>1105</v>
      </c>
      <c r="D52" s="11" t="s">
        <v>1106</v>
      </c>
      <c r="E52" s="11" t="s">
        <v>1107</v>
      </c>
      <c r="F52" s="11" t="s">
        <v>1108</v>
      </c>
      <c r="G52" s="11" t="s">
        <v>1109</v>
      </c>
    </row>
    <row r="53" spans="1:7">
      <c r="A53" s="11" t="s">
        <v>1110</v>
      </c>
      <c r="B53" s="11" t="s">
        <v>1111</v>
      </c>
      <c r="C53" s="11" t="s">
        <v>914</v>
      </c>
      <c r="D53" s="11" t="s">
        <v>26</v>
      </c>
      <c r="E53" s="11" t="s">
        <v>1112</v>
      </c>
      <c r="F53" s="11" t="s">
        <v>1113</v>
      </c>
      <c r="G53" s="11" t="s">
        <v>1114</v>
      </c>
    </row>
    <row r="54" spans="1:7">
      <c r="A54" s="11" t="s">
        <v>1115</v>
      </c>
      <c r="B54" s="11" t="s">
        <v>1116</v>
      </c>
      <c r="C54" s="11" t="s">
        <v>914</v>
      </c>
      <c r="D54" s="11" t="s">
        <v>151</v>
      </c>
      <c r="E54" s="11" t="s">
        <v>1117</v>
      </c>
      <c r="F54" s="11" t="s">
        <v>1118</v>
      </c>
      <c r="G54" s="11" t="s">
        <v>1119</v>
      </c>
    </row>
    <row r="55" spans="1:7">
      <c r="A55" s="11" t="s">
        <v>1120</v>
      </c>
      <c r="B55" s="11" t="s">
        <v>1121</v>
      </c>
      <c r="C55" s="11" t="s">
        <v>914</v>
      </c>
      <c r="D55" s="11" t="s">
        <v>1122</v>
      </c>
      <c r="E55" s="11" t="s">
        <v>1123</v>
      </c>
      <c r="F55" s="11" t="s">
        <v>1124</v>
      </c>
      <c r="G55" s="11" t="s">
        <v>1125</v>
      </c>
    </row>
    <row r="56" spans="1:7" ht="22.8">
      <c r="A56" s="11" t="s">
        <v>729</v>
      </c>
      <c r="B56" s="11" t="s">
        <v>1126</v>
      </c>
      <c r="C56" s="11" t="s">
        <v>1127</v>
      </c>
      <c r="D56" s="11" t="s">
        <v>28</v>
      </c>
      <c r="E56" s="11" t="s">
        <v>1128</v>
      </c>
      <c r="F56" s="11" t="s">
        <v>1129</v>
      </c>
      <c r="G56" s="11" t="s">
        <v>1130</v>
      </c>
    </row>
    <row r="57" spans="1:7">
      <c r="A57" s="11" t="s">
        <v>473</v>
      </c>
      <c r="B57" s="11" t="s">
        <v>1131</v>
      </c>
      <c r="C57" s="11" t="s">
        <v>914</v>
      </c>
      <c r="D57" s="11" t="s">
        <v>1132</v>
      </c>
      <c r="E57" s="11" t="s">
        <v>1133</v>
      </c>
      <c r="F57" s="11" t="s">
        <v>1134</v>
      </c>
      <c r="G57" s="11" t="s">
        <v>1135</v>
      </c>
    </row>
    <row r="58" spans="1:7">
      <c r="A58" s="11" t="s">
        <v>1136</v>
      </c>
      <c r="B58" s="11" t="s">
        <v>1137</v>
      </c>
      <c r="C58" s="11" t="s">
        <v>891</v>
      </c>
      <c r="D58" s="11" t="s">
        <v>335</v>
      </c>
      <c r="E58" s="11" t="s">
        <v>1138</v>
      </c>
      <c r="F58" s="11" t="s">
        <v>1139</v>
      </c>
      <c r="G58" s="11" t="s">
        <v>1140</v>
      </c>
    </row>
    <row r="59" spans="1:7">
      <c r="A59" s="11" t="s">
        <v>739</v>
      </c>
      <c r="B59" s="11" t="s">
        <v>1141</v>
      </c>
      <c r="C59" s="11" t="s">
        <v>914</v>
      </c>
      <c r="D59" s="11" t="s">
        <v>28</v>
      </c>
      <c r="E59" s="11" t="s">
        <v>1142</v>
      </c>
      <c r="F59" s="11" t="s">
        <v>1143</v>
      </c>
      <c r="G59" s="11" t="s">
        <v>1144</v>
      </c>
    </row>
    <row r="60" spans="1:7" ht="22.8">
      <c r="A60" s="11" t="s">
        <v>1145</v>
      </c>
      <c r="B60" s="11" t="s">
        <v>1146</v>
      </c>
      <c r="C60" s="11" t="s">
        <v>914</v>
      </c>
      <c r="D60" s="11" t="s">
        <v>180</v>
      </c>
      <c r="E60" s="11" t="s">
        <v>1147</v>
      </c>
      <c r="F60" s="11" t="s">
        <v>1148</v>
      </c>
      <c r="G60" s="11" t="s">
        <v>1149</v>
      </c>
    </row>
    <row r="61" spans="1:7">
      <c r="A61" s="11" t="s">
        <v>490</v>
      </c>
      <c r="B61" s="11" t="s">
        <v>1150</v>
      </c>
      <c r="C61" s="11" t="s">
        <v>914</v>
      </c>
      <c r="D61" s="11" t="s">
        <v>28</v>
      </c>
      <c r="E61" s="11" t="s">
        <v>1151</v>
      </c>
      <c r="F61" s="11" t="s">
        <v>1152</v>
      </c>
      <c r="G61" s="11" t="s">
        <v>1153</v>
      </c>
    </row>
    <row r="62" spans="1:7">
      <c r="A62" s="11" t="s">
        <v>1154</v>
      </c>
      <c r="B62" s="11" t="s">
        <v>1155</v>
      </c>
      <c r="C62" s="11" t="s">
        <v>914</v>
      </c>
      <c r="D62" s="11" t="s">
        <v>10</v>
      </c>
      <c r="E62" s="11" t="s">
        <v>1156</v>
      </c>
      <c r="F62" s="11" t="s">
        <v>1157</v>
      </c>
      <c r="G62" s="11" t="s">
        <v>1158</v>
      </c>
    </row>
    <row r="63" spans="1:7">
      <c r="A63" s="11" t="s">
        <v>462</v>
      </c>
      <c r="B63" s="11" t="s">
        <v>1159</v>
      </c>
      <c r="C63" s="11" t="s">
        <v>86</v>
      </c>
      <c r="D63" s="11" t="s">
        <v>29</v>
      </c>
      <c r="E63" s="11" t="s">
        <v>1160</v>
      </c>
      <c r="F63" s="11" t="s">
        <v>1161</v>
      </c>
      <c r="G63" s="11" t="s">
        <v>1162</v>
      </c>
    </row>
    <row r="64" spans="1:7">
      <c r="A64" s="11" t="s">
        <v>462</v>
      </c>
      <c r="B64" s="11" t="s">
        <v>1163</v>
      </c>
      <c r="C64" s="11" t="s">
        <v>1127</v>
      </c>
      <c r="D64" s="11" t="s">
        <v>29</v>
      </c>
      <c r="E64" s="11" t="s">
        <v>1164</v>
      </c>
      <c r="F64" s="11" t="s">
        <v>1165</v>
      </c>
      <c r="G64" s="11" t="s">
        <v>1166</v>
      </c>
    </row>
    <row r="65" spans="1:7">
      <c r="A65" s="11" t="s">
        <v>462</v>
      </c>
      <c r="B65" s="11" t="s">
        <v>1167</v>
      </c>
      <c r="C65" s="11" t="s">
        <v>891</v>
      </c>
      <c r="D65" s="11" t="s">
        <v>993</v>
      </c>
      <c r="E65" s="11" t="s">
        <v>1168</v>
      </c>
      <c r="F65" s="11" t="s">
        <v>1169</v>
      </c>
      <c r="G65" s="11" t="s">
        <v>1170</v>
      </c>
    </row>
    <row r="66" spans="1:7">
      <c r="A66" s="11" t="s">
        <v>518</v>
      </c>
      <c r="B66" s="11" t="s">
        <v>1171</v>
      </c>
      <c r="C66" s="11" t="s">
        <v>1172</v>
      </c>
      <c r="D66" s="11" t="s">
        <v>29</v>
      </c>
      <c r="E66" s="11" t="s">
        <v>1173</v>
      </c>
      <c r="F66" s="11" t="s">
        <v>1174</v>
      </c>
      <c r="G66" s="11" t="s">
        <v>1175</v>
      </c>
    </row>
    <row r="67" spans="1:7">
      <c r="A67" s="11" t="s">
        <v>1176</v>
      </c>
      <c r="B67" s="11" t="s">
        <v>1177</v>
      </c>
      <c r="C67" s="11" t="s">
        <v>954</v>
      </c>
      <c r="D67" s="11" t="s">
        <v>1178</v>
      </c>
      <c r="E67" s="11" t="s">
        <v>1179</v>
      </c>
      <c r="F67" s="11" t="s">
        <v>1180</v>
      </c>
      <c r="G67" s="11" t="s">
        <v>1181</v>
      </c>
    </row>
    <row r="68" spans="1:7">
      <c r="A68" s="11" t="s">
        <v>1182</v>
      </c>
      <c r="B68" s="11" t="s">
        <v>1183</v>
      </c>
      <c r="C68" s="11" t="s">
        <v>1184</v>
      </c>
      <c r="D68" s="11" t="s">
        <v>1185</v>
      </c>
      <c r="E68" s="11" t="s">
        <v>1186</v>
      </c>
      <c r="F68" s="11" t="s">
        <v>1187</v>
      </c>
      <c r="G68" s="11" t="s">
        <v>1188</v>
      </c>
    </row>
    <row r="69" spans="1:7">
      <c r="A69" s="11" t="s">
        <v>490</v>
      </c>
      <c r="B69" s="11" t="s">
        <v>1189</v>
      </c>
      <c r="C69" s="11" t="s">
        <v>891</v>
      </c>
      <c r="D69" s="11" t="s">
        <v>1190</v>
      </c>
      <c r="E69" s="11" t="s">
        <v>1191</v>
      </c>
      <c r="F69" s="11" t="s">
        <v>1192</v>
      </c>
      <c r="G69" s="11" t="s">
        <v>1193</v>
      </c>
    </row>
  </sheetData>
  <mergeCells count="2">
    <mergeCell ref="A1:G1"/>
    <mergeCell ref="A2:G2"/>
  </mergeCells>
  <conditionalFormatting sqref="C6:C69">
    <cfRule type="containsText" dxfId="18" priority="1" operator="containsText" text="MUST"/>
    <cfRule type="containsText" dxfId="17" priority="2" operator="containsText" text="SHOULD"/>
    <cfRule type="containsText" dxfId="16"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51" t="s">
        <v>1194</v>
      </c>
      <c r="B1" s="51"/>
      <c r="C1" s="51"/>
      <c r="D1" s="51"/>
      <c r="E1" s="51"/>
      <c r="F1" s="51"/>
      <c r="G1" s="51"/>
      <c r="H1" s="51"/>
    </row>
    <row r="2" spans="1:8" ht="31.95" customHeight="1">
      <c r="A2" s="52" t="s">
        <v>1195</v>
      </c>
      <c r="B2" s="52"/>
      <c r="C2" s="52"/>
      <c r="D2" s="52"/>
      <c r="E2" s="52"/>
      <c r="F2" s="52"/>
      <c r="G2" s="52"/>
      <c r="H2" s="52"/>
    </row>
    <row r="5" spans="1:8" ht="28.05" customHeight="1">
      <c r="A5" s="1" t="s">
        <v>1196</v>
      </c>
      <c r="B5" s="2" t="s">
        <v>351</v>
      </c>
      <c r="C5" s="2" t="s">
        <v>1197</v>
      </c>
      <c r="D5" s="2" t="s">
        <v>1198</v>
      </c>
      <c r="E5" s="2" t="s">
        <v>1199</v>
      </c>
      <c r="F5" s="2" t="s">
        <v>1200</v>
      </c>
      <c r="G5" s="2" t="s">
        <v>1201</v>
      </c>
      <c r="H5" s="3" t="s">
        <v>1202</v>
      </c>
    </row>
    <row r="6" spans="1:8">
      <c r="A6" s="10" t="s">
        <v>1203</v>
      </c>
      <c r="B6" s="10" t="s">
        <v>1204</v>
      </c>
      <c r="C6" s="10" t="s">
        <v>754</v>
      </c>
      <c r="D6" s="10" t="s">
        <v>1205</v>
      </c>
      <c r="E6" s="10" t="s">
        <v>10</v>
      </c>
      <c r="F6" s="10" t="s">
        <v>1206</v>
      </c>
      <c r="G6" s="10" t="s">
        <v>1207</v>
      </c>
      <c r="H6" s="19"/>
    </row>
    <row r="7" spans="1:8">
      <c r="A7" s="11" t="s">
        <v>1208</v>
      </c>
      <c r="B7" s="11" t="s">
        <v>1204</v>
      </c>
      <c r="C7" s="11" t="s">
        <v>754</v>
      </c>
      <c r="D7" s="11" t="s">
        <v>1209</v>
      </c>
      <c r="E7" s="11" t="s">
        <v>10</v>
      </c>
      <c r="F7" s="11" t="s">
        <v>1210</v>
      </c>
      <c r="G7" s="11" t="s">
        <v>1207</v>
      </c>
      <c r="H7" s="20"/>
    </row>
    <row r="8" spans="1:8">
      <c r="A8" s="11" t="s">
        <v>1211</v>
      </c>
      <c r="B8" s="11" t="s">
        <v>1212</v>
      </c>
      <c r="C8" s="11" t="s">
        <v>754</v>
      </c>
      <c r="D8" s="11" t="s">
        <v>1213</v>
      </c>
      <c r="E8" s="11" t="s">
        <v>10</v>
      </c>
      <c r="F8" s="11" t="s">
        <v>1214</v>
      </c>
      <c r="G8" s="11" t="s">
        <v>1215</v>
      </c>
      <c r="H8" s="20"/>
    </row>
    <row r="9" spans="1:8">
      <c r="A9" s="11" t="s">
        <v>1216</v>
      </c>
      <c r="B9" s="11" t="s">
        <v>1217</v>
      </c>
      <c r="C9" s="11" t="s">
        <v>754</v>
      </c>
      <c r="D9" s="11" t="s">
        <v>1218</v>
      </c>
      <c r="E9" s="11" t="s">
        <v>10</v>
      </c>
      <c r="F9" s="11" t="s">
        <v>1219</v>
      </c>
      <c r="G9" s="11" t="s">
        <v>1220</v>
      </c>
      <c r="H9" s="20"/>
    </row>
    <row r="10" spans="1:8">
      <c r="A10" s="11" t="s">
        <v>1221</v>
      </c>
      <c r="B10" s="11" t="s">
        <v>1204</v>
      </c>
      <c r="C10" s="11" t="s">
        <v>754</v>
      </c>
      <c r="D10" s="11" t="s">
        <v>1222</v>
      </c>
      <c r="E10" s="11" t="s">
        <v>26</v>
      </c>
      <c r="F10" s="11" t="s">
        <v>1223</v>
      </c>
      <c r="G10" s="11" t="s">
        <v>1224</v>
      </c>
      <c r="H10" s="20"/>
    </row>
    <row r="11" spans="1:8">
      <c r="A11" s="11" t="s">
        <v>1225</v>
      </c>
      <c r="B11" s="11" t="s">
        <v>1204</v>
      </c>
      <c r="C11" s="11" t="s">
        <v>754</v>
      </c>
      <c r="D11" s="11" t="s">
        <v>1226</v>
      </c>
      <c r="E11" s="11" t="s">
        <v>26</v>
      </c>
      <c r="F11" s="11" t="s">
        <v>1227</v>
      </c>
      <c r="G11" s="11" t="s">
        <v>1228</v>
      </c>
      <c r="H11" s="20"/>
    </row>
    <row r="12" spans="1:8">
      <c r="A12" s="11" t="s">
        <v>1229</v>
      </c>
      <c r="B12" s="11" t="s">
        <v>1204</v>
      </c>
      <c r="C12" s="11" t="s">
        <v>754</v>
      </c>
      <c r="D12" s="11" t="s">
        <v>1230</v>
      </c>
      <c r="E12" s="11" t="s">
        <v>25</v>
      </c>
      <c r="F12" s="11" t="s">
        <v>1231</v>
      </c>
      <c r="G12" s="11" t="s">
        <v>1232</v>
      </c>
      <c r="H12" s="20"/>
    </row>
    <row r="13" spans="1:8">
      <c r="A13" s="11" t="s">
        <v>235</v>
      </c>
      <c r="B13" s="11" t="s">
        <v>1204</v>
      </c>
      <c r="C13" s="11" t="s">
        <v>754</v>
      </c>
      <c r="D13" s="11" t="s">
        <v>1233</v>
      </c>
      <c r="E13" s="11" t="s">
        <v>25</v>
      </c>
      <c r="F13" s="11" t="s">
        <v>1234</v>
      </c>
      <c r="G13" s="11" t="s">
        <v>1235</v>
      </c>
      <c r="H13" s="20"/>
    </row>
    <row r="14" spans="1:8">
      <c r="A14" s="11" t="s">
        <v>1236</v>
      </c>
      <c r="B14" s="11" t="s">
        <v>1204</v>
      </c>
      <c r="C14" s="11" t="s">
        <v>754</v>
      </c>
      <c r="D14" s="11" t="s">
        <v>1237</v>
      </c>
      <c r="E14" s="11" t="s">
        <v>25</v>
      </c>
      <c r="F14" s="11" t="s">
        <v>1238</v>
      </c>
      <c r="G14" s="11" t="s">
        <v>1239</v>
      </c>
      <c r="H14" s="20"/>
    </row>
    <row r="15" spans="1:8">
      <c r="A15" s="11" t="s">
        <v>1240</v>
      </c>
      <c r="B15" s="11" t="s">
        <v>1241</v>
      </c>
      <c r="C15" s="11" t="s">
        <v>754</v>
      </c>
      <c r="D15" s="11" t="s">
        <v>1242</v>
      </c>
      <c r="E15" s="11" t="s">
        <v>25</v>
      </c>
      <c r="F15" s="11" t="s">
        <v>1243</v>
      </c>
      <c r="G15" s="11" t="s">
        <v>1244</v>
      </c>
      <c r="H15" s="20"/>
    </row>
    <row r="16" spans="1:8">
      <c r="A16" s="11" t="s">
        <v>1245</v>
      </c>
      <c r="B16" s="11" t="s">
        <v>1246</v>
      </c>
      <c r="C16" s="11" t="s">
        <v>703</v>
      </c>
      <c r="D16" s="11"/>
      <c r="E16" s="11" t="s">
        <v>335</v>
      </c>
      <c r="F16" s="11" t="s">
        <v>1247</v>
      </c>
      <c r="G16" s="11" t="s">
        <v>1244</v>
      </c>
      <c r="H16" s="20"/>
    </row>
    <row r="17" spans="1:8">
      <c r="A17" s="11" t="s">
        <v>1248</v>
      </c>
      <c r="B17" s="11" t="s">
        <v>1204</v>
      </c>
      <c r="C17" s="11" t="s">
        <v>754</v>
      </c>
      <c r="D17" s="11"/>
      <c r="E17" s="11" t="s">
        <v>28</v>
      </c>
      <c r="F17" s="11" t="s">
        <v>1249</v>
      </c>
      <c r="G17" s="11" t="s">
        <v>1250</v>
      </c>
      <c r="H17" s="20"/>
    </row>
    <row r="18" spans="1:8">
      <c r="A18" s="11" t="s">
        <v>1251</v>
      </c>
      <c r="B18" s="11" t="s">
        <v>1204</v>
      </c>
      <c r="C18" s="11" t="s">
        <v>754</v>
      </c>
      <c r="D18" s="11" t="s">
        <v>1252</v>
      </c>
      <c r="E18" s="11" t="s">
        <v>26</v>
      </c>
      <c r="F18" s="11" t="s">
        <v>1253</v>
      </c>
      <c r="G18" s="11" t="s">
        <v>1250</v>
      </c>
      <c r="H18" s="20"/>
    </row>
    <row r="19" spans="1:8">
      <c r="A19" s="11" t="s">
        <v>1254</v>
      </c>
      <c r="B19" s="11" t="s">
        <v>1204</v>
      </c>
      <c r="C19" s="11" t="s">
        <v>754</v>
      </c>
      <c r="D19" s="11" t="s">
        <v>1255</v>
      </c>
      <c r="E19" s="11" t="s">
        <v>28</v>
      </c>
      <c r="F19" s="11" t="s">
        <v>1256</v>
      </c>
      <c r="G19" s="11" t="s">
        <v>1232</v>
      </c>
      <c r="H19" s="20"/>
    </row>
    <row r="20" spans="1:8">
      <c r="A20" s="11" t="s">
        <v>1257</v>
      </c>
      <c r="B20" s="11" t="s">
        <v>1204</v>
      </c>
      <c r="C20" s="11" t="s">
        <v>754</v>
      </c>
      <c r="D20" s="11" t="s">
        <v>1258</v>
      </c>
      <c r="E20" s="11" t="s">
        <v>28</v>
      </c>
      <c r="F20" s="11" t="s">
        <v>1259</v>
      </c>
      <c r="G20" s="11" t="s">
        <v>1204</v>
      </c>
      <c r="H20" s="20"/>
    </row>
    <row r="21" spans="1:8">
      <c r="A21" s="11" t="s">
        <v>1260</v>
      </c>
      <c r="B21" s="11" t="s">
        <v>1204</v>
      </c>
      <c r="C21" s="11" t="s">
        <v>754</v>
      </c>
      <c r="D21" s="11" t="s">
        <v>1261</v>
      </c>
      <c r="E21" s="11" t="s">
        <v>26</v>
      </c>
      <c r="F21" s="11" t="s">
        <v>1262</v>
      </c>
      <c r="G21" s="11" t="s">
        <v>1239</v>
      </c>
      <c r="H21" s="20"/>
    </row>
    <row r="22" spans="1:8">
      <c r="A22" s="11" t="s">
        <v>1263</v>
      </c>
      <c r="B22" s="11" t="s">
        <v>1204</v>
      </c>
      <c r="C22" s="11" t="s">
        <v>754</v>
      </c>
      <c r="D22" s="11" t="s">
        <v>1264</v>
      </c>
      <c r="E22" s="11" t="s">
        <v>26</v>
      </c>
      <c r="F22" s="11" t="s">
        <v>1265</v>
      </c>
      <c r="G22" s="11" t="s">
        <v>1224</v>
      </c>
      <c r="H22" s="20"/>
    </row>
    <row r="23" spans="1:8">
      <c r="A23" s="11" t="s">
        <v>1266</v>
      </c>
      <c r="B23" s="11" t="s">
        <v>1204</v>
      </c>
      <c r="C23" s="11" t="s">
        <v>754</v>
      </c>
      <c r="D23" s="11" t="s">
        <v>1267</v>
      </c>
      <c r="E23" s="11" t="s">
        <v>26</v>
      </c>
      <c r="F23" s="11" t="s">
        <v>1268</v>
      </c>
      <c r="G23" s="11" t="s">
        <v>1224</v>
      </c>
      <c r="H23" s="20"/>
    </row>
    <row r="24" spans="1:8">
      <c r="A24" s="11" t="s">
        <v>1269</v>
      </c>
      <c r="B24" s="11" t="s">
        <v>1204</v>
      </c>
      <c r="C24" s="11" t="s">
        <v>754</v>
      </c>
      <c r="D24" s="11" t="s">
        <v>1270</v>
      </c>
      <c r="E24" s="11" t="s">
        <v>27</v>
      </c>
      <c r="F24" s="11" t="s">
        <v>1271</v>
      </c>
      <c r="G24" s="11" t="s">
        <v>919</v>
      </c>
      <c r="H24" s="20"/>
    </row>
    <row r="25" spans="1:8">
      <c r="A25" s="11" t="s">
        <v>1272</v>
      </c>
      <c r="B25" s="11" t="s">
        <v>1204</v>
      </c>
      <c r="C25" s="11" t="s">
        <v>754</v>
      </c>
      <c r="D25" s="11" t="s">
        <v>1273</v>
      </c>
      <c r="E25" s="11" t="s">
        <v>27</v>
      </c>
      <c r="F25" s="11" t="s">
        <v>1274</v>
      </c>
      <c r="G25" s="11" t="s">
        <v>1275</v>
      </c>
      <c r="H25" s="20"/>
    </row>
    <row r="26" spans="1:8">
      <c r="A26" s="11" t="s">
        <v>1276</v>
      </c>
      <c r="B26" s="11" t="s">
        <v>1204</v>
      </c>
      <c r="C26" s="11" t="s">
        <v>754</v>
      </c>
      <c r="D26" s="11" t="s">
        <v>1277</v>
      </c>
      <c r="E26" s="11" t="s">
        <v>27</v>
      </c>
      <c r="F26" s="11" t="s">
        <v>1278</v>
      </c>
      <c r="G26" s="11" t="s">
        <v>919</v>
      </c>
      <c r="H26" s="20"/>
    </row>
    <row r="27" spans="1:8">
      <c r="A27" s="11" t="s">
        <v>1279</v>
      </c>
      <c r="B27" s="11" t="s">
        <v>1204</v>
      </c>
      <c r="C27" s="11" t="s">
        <v>754</v>
      </c>
      <c r="D27" s="11" t="s">
        <v>1280</v>
      </c>
      <c r="E27" s="11" t="s">
        <v>27</v>
      </c>
      <c r="F27" s="11" t="s">
        <v>1281</v>
      </c>
      <c r="G27" s="11" t="s">
        <v>919</v>
      </c>
      <c r="H27" s="20"/>
    </row>
    <row r="28" spans="1:8">
      <c r="A28" s="11" t="s">
        <v>1282</v>
      </c>
      <c r="B28" s="11" t="s">
        <v>1204</v>
      </c>
      <c r="C28" s="11" t="s">
        <v>754</v>
      </c>
      <c r="D28" s="11" t="s">
        <v>1283</v>
      </c>
      <c r="E28" s="11" t="s">
        <v>26</v>
      </c>
      <c r="F28" s="11" t="s">
        <v>1284</v>
      </c>
      <c r="G28" s="11" t="s">
        <v>1285</v>
      </c>
      <c r="H28" s="20"/>
    </row>
    <row r="29" spans="1:8">
      <c r="A29" s="11" t="s">
        <v>1286</v>
      </c>
      <c r="B29" s="11" t="s">
        <v>1204</v>
      </c>
      <c r="C29" s="11" t="s">
        <v>754</v>
      </c>
      <c r="D29" s="11" t="s">
        <v>1287</v>
      </c>
      <c r="E29" s="11" t="s">
        <v>27</v>
      </c>
      <c r="F29" s="11" t="s">
        <v>1288</v>
      </c>
      <c r="G29" s="11" t="s">
        <v>1285</v>
      </c>
      <c r="H29" s="20"/>
    </row>
    <row r="30" spans="1:8">
      <c r="A30" s="11" t="s">
        <v>1289</v>
      </c>
      <c r="B30" s="11" t="s">
        <v>1204</v>
      </c>
      <c r="C30" s="11" t="s">
        <v>754</v>
      </c>
      <c r="D30" s="11" t="s">
        <v>1290</v>
      </c>
      <c r="E30" s="11" t="s">
        <v>335</v>
      </c>
      <c r="F30" s="11" t="s">
        <v>1291</v>
      </c>
      <c r="G30" s="11" t="s">
        <v>1292</v>
      </c>
      <c r="H30" s="20"/>
    </row>
    <row r="31" spans="1:8">
      <c r="A31" s="11" t="s">
        <v>1293</v>
      </c>
      <c r="B31" s="11" t="s">
        <v>1246</v>
      </c>
      <c r="C31" s="11" t="s">
        <v>703</v>
      </c>
      <c r="D31" s="11"/>
      <c r="E31" s="11" t="s">
        <v>335</v>
      </c>
      <c r="F31" s="11" t="s">
        <v>1294</v>
      </c>
      <c r="G31" s="11" t="s">
        <v>1292</v>
      </c>
      <c r="H31" s="20"/>
    </row>
    <row r="32" spans="1:8">
      <c r="A32" s="11" t="s">
        <v>1295</v>
      </c>
      <c r="B32" s="11" t="s">
        <v>1246</v>
      </c>
      <c r="C32" s="11" t="s">
        <v>703</v>
      </c>
      <c r="D32" s="11"/>
      <c r="E32" s="11" t="s">
        <v>933</v>
      </c>
      <c r="F32" s="11" t="s">
        <v>1296</v>
      </c>
      <c r="G32" s="11" t="s">
        <v>1297</v>
      </c>
      <c r="H32" s="20"/>
    </row>
    <row r="33" spans="1:8">
      <c r="A33" s="11" t="s">
        <v>1298</v>
      </c>
      <c r="B33" s="11" t="s">
        <v>1204</v>
      </c>
      <c r="C33" s="11" t="s">
        <v>754</v>
      </c>
      <c r="D33" s="11" t="s">
        <v>1299</v>
      </c>
      <c r="E33" s="11" t="s">
        <v>933</v>
      </c>
      <c r="F33" s="11" t="s">
        <v>1300</v>
      </c>
      <c r="G33" s="11" t="s">
        <v>1297</v>
      </c>
      <c r="H33" s="20"/>
    </row>
    <row r="34" spans="1:8">
      <c r="A34" s="11" t="s">
        <v>1301</v>
      </c>
      <c r="B34" s="11" t="s">
        <v>1302</v>
      </c>
      <c r="C34" s="11" t="s">
        <v>754</v>
      </c>
      <c r="D34" s="11" t="s">
        <v>1303</v>
      </c>
      <c r="E34" s="11" t="s">
        <v>28</v>
      </c>
      <c r="F34" s="11" t="s">
        <v>1304</v>
      </c>
      <c r="G34" s="11" t="s">
        <v>1305</v>
      </c>
      <c r="H34" s="20"/>
    </row>
    <row r="35" spans="1:8">
      <c r="A35" s="11" t="s">
        <v>1306</v>
      </c>
      <c r="B35" s="11" t="s">
        <v>1302</v>
      </c>
      <c r="C35" s="11" t="s">
        <v>754</v>
      </c>
      <c r="D35" s="11" t="s">
        <v>1307</v>
      </c>
      <c r="E35" s="11" t="s">
        <v>28</v>
      </c>
      <c r="F35" s="11" t="s">
        <v>1308</v>
      </c>
      <c r="G35" s="11" t="s">
        <v>1309</v>
      </c>
      <c r="H35" s="20"/>
    </row>
    <row r="36" spans="1:8">
      <c r="A36" s="11" t="s">
        <v>1310</v>
      </c>
      <c r="B36" s="11" t="s">
        <v>1311</v>
      </c>
      <c r="C36" s="11" t="s">
        <v>754</v>
      </c>
      <c r="D36" s="11" t="s">
        <v>1312</v>
      </c>
      <c r="E36" s="11" t="s">
        <v>10</v>
      </c>
      <c r="F36" s="11" t="s">
        <v>1313</v>
      </c>
      <c r="G36" s="11" t="s">
        <v>1314</v>
      </c>
      <c r="H36" s="20"/>
    </row>
    <row r="37" spans="1:8">
      <c r="A37" s="11" t="s">
        <v>1315</v>
      </c>
      <c r="B37" s="11" t="s">
        <v>1311</v>
      </c>
      <c r="C37" s="11" t="s">
        <v>754</v>
      </c>
      <c r="D37" s="11" t="s">
        <v>1316</v>
      </c>
      <c r="E37" s="11" t="s">
        <v>10</v>
      </c>
      <c r="F37" s="11" t="s">
        <v>1317</v>
      </c>
      <c r="G37" s="11" t="s">
        <v>1314</v>
      </c>
      <c r="H37" s="20"/>
    </row>
    <row r="38" spans="1:8">
      <c r="A38" s="11" t="s">
        <v>1318</v>
      </c>
      <c r="B38" s="11" t="s">
        <v>1311</v>
      </c>
      <c r="C38" s="11" t="s">
        <v>754</v>
      </c>
      <c r="D38" s="11" t="s">
        <v>1319</v>
      </c>
      <c r="E38" s="11" t="s">
        <v>10</v>
      </c>
      <c r="F38" s="11" t="s">
        <v>1320</v>
      </c>
      <c r="G38" s="11" t="s">
        <v>1314</v>
      </c>
      <c r="H38" s="20"/>
    </row>
  </sheetData>
  <mergeCells count="2">
    <mergeCell ref="A1:H1"/>
    <mergeCell ref="A2:H2"/>
  </mergeCells>
  <conditionalFormatting sqref="C6:C38">
    <cfRule type="containsText" dxfId="15"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51" t="s">
        <v>2456</v>
      </c>
      <c r="B1" s="51"/>
      <c r="C1" s="51"/>
      <c r="D1" s="51"/>
      <c r="E1" s="51"/>
      <c r="F1" s="51"/>
    </row>
    <row r="2" spans="1:6" ht="31.95" customHeight="1">
      <c r="A2" s="52" t="s">
        <v>1321</v>
      </c>
      <c r="B2" s="52"/>
      <c r="C2" s="52"/>
      <c r="D2" s="52"/>
      <c r="E2" s="52"/>
      <c r="F2" s="52"/>
    </row>
    <row r="5" spans="1:6" ht="28.05" customHeight="1">
      <c r="A5" s="1" t="s">
        <v>1322</v>
      </c>
      <c r="B5" s="2" t="s">
        <v>1323</v>
      </c>
      <c r="C5" s="2" t="s">
        <v>1324</v>
      </c>
      <c r="D5" s="2" t="s">
        <v>1325</v>
      </c>
      <c r="E5" s="2" t="s">
        <v>1326</v>
      </c>
      <c r="F5" s="3" t="s">
        <v>1327</v>
      </c>
    </row>
    <row r="6" spans="1:6" ht="22.8">
      <c r="A6" s="10" t="s">
        <v>1328</v>
      </c>
      <c r="B6" s="10" t="s">
        <v>1329</v>
      </c>
      <c r="C6" s="10" t="s">
        <v>1330</v>
      </c>
      <c r="D6" s="10" t="s">
        <v>1331</v>
      </c>
      <c r="E6" s="10" t="s">
        <v>1332</v>
      </c>
      <c r="F6" s="10" t="s">
        <v>1333</v>
      </c>
    </row>
    <row r="7" spans="1:6" ht="22.8">
      <c r="A7" s="11" t="s">
        <v>1334</v>
      </c>
      <c r="B7" s="11" t="s">
        <v>1335</v>
      </c>
      <c r="C7" s="11" t="s">
        <v>1336</v>
      </c>
      <c r="D7" s="11" t="s">
        <v>1337</v>
      </c>
      <c r="E7" s="11" t="s">
        <v>1338</v>
      </c>
      <c r="F7" s="11" t="s">
        <v>1333</v>
      </c>
    </row>
    <row r="8" spans="1:6" ht="22.8">
      <c r="A8" s="11" t="s">
        <v>1339</v>
      </c>
      <c r="B8" s="11" t="s">
        <v>2457</v>
      </c>
      <c r="C8" s="11" t="s">
        <v>2458</v>
      </c>
      <c r="D8" s="11" t="s">
        <v>2459</v>
      </c>
      <c r="E8" s="11" t="s">
        <v>2460</v>
      </c>
      <c r="F8" s="11" t="s">
        <v>2461</v>
      </c>
    </row>
    <row r="11" spans="1:6" ht="46.05" customHeight="1">
      <c r="A11" s="109" t="s">
        <v>2462</v>
      </c>
      <c r="B11" s="110"/>
      <c r="C11" s="110"/>
      <c r="D11" s="110"/>
      <c r="E11" s="110"/>
      <c r="F11" s="111"/>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12" t="s">
        <v>2463</v>
      </c>
      <c r="B1" s="112"/>
      <c r="C1" s="112"/>
      <c r="D1" s="112"/>
      <c r="E1" s="112"/>
      <c r="F1" s="112"/>
      <c r="G1" s="112"/>
      <c r="H1" s="112"/>
    </row>
    <row r="2" spans="1:8" ht="36" customHeight="1">
      <c r="A2" s="113" t="s">
        <v>2464</v>
      </c>
      <c r="B2" s="113"/>
      <c r="C2" s="113"/>
      <c r="D2" s="113"/>
      <c r="E2" s="113"/>
      <c r="F2" s="113"/>
      <c r="G2" s="113"/>
      <c r="H2" s="113"/>
    </row>
    <row r="3" spans="1:8" ht="15" customHeight="1">
      <c r="A3" s="29"/>
      <c r="B3" s="29"/>
      <c r="C3" s="29"/>
      <c r="D3" s="29"/>
      <c r="E3" s="29"/>
      <c r="F3" s="29"/>
      <c r="G3" s="29"/>
      <c r="H3" s="29"/>
    </row>
    <row r="4" spans="1:8" ht="15" customHeight="1">
      <c r="A4" s="114" t="s">
        <v>2465</v>
      </c>
      <c r="B4" s="114"/>
      <c r="C4" s="114"/>
      <c r="D4" s="114"/>
      <c r="E4" s="114"/>
      <c r="F4" s="114"/>
      <c r="G4" s="114"/>
      <c r="H4" s="114"/>
    </row>
    <row r="5" spans="1:8" ht="118.8" customHeight="1">
      <c r="A5" s="36" t="s">
        <v>2466</v>
      </c>
      <c r="B5" s="37" t="s">
        <v>2467</v>
      </c>
      <c r="C5" s="37" t="s">
        <v>2468</v>
      </c>
      <c r="D5" s="37" t="s">
        <v>2469</v>
      </c>
      <c r="E5" s="37" t="s">
        <v>2470</v>
      </c>
      <c r="F5" s="37" t="s">
        <v>2471</v>
      </c>
      <c r="G5" s="37" t="s">
        <v>2472</v>
      </c>
      <c r="H5" s="38" t="s">
        <v>2473</v>
      </c>
    </row>
    <row r="6" spans="1:8" ht="105.6" customHeight="1">
      <c r="A6" s="39" t="s">
        <v>2474</v>
      </c>
      <c r="B6" s="40" t="s">
        <v>2475</v>
      </c>
      <c r="C6" s="40" t="s">
        <v>2476</v>
      </c>
      <c r="D6" s="40" t="s">
        <v>2477</v>
      </c>
      <c r="E6" s="40" t="s">
        <v>2478</v>
      </c>
      <c r="F6" s="40" t="s">
        <v>2479</v>
      </c>
      <c r="G6" s="40" t="s">
        <v>2480</v>
      </c>
      <c r="H6" s="41" t="s">
        <v>2481</v>
      </c>
    </row>
    <row r="7" spans="1:8" ht="132" customHeight="1">
      <c r="A7" s="39" t="s">
        <v>1277</v>
      </c>
      <c r="B7" s="40" t="s">
        <v>2482</v>
      </c>
      <c r="C7" s="40" t="s">
        <v>2483</v>
      </c>
      <c r="D7" s="40" t="s">
        <v>2484</v>
      </c>
      <c r="E7" s="40" t="s">
        <v>200</v>
      </c>
      <c r="F7" s="40" t="s">
        <v>2483</v>
      </c>
      <c r="G7" s="40" t="s">
        <v>2485</v>
      </c>
      <c r="H7" s="41" t="s">
        <v>2486</v>
      </c>
    </row>
    <row r="8" spans="1:8" ht="118.8" customHeight="1">
      <c r="A8" s="39" t="s">
        <v>2487</v>
      </c>
      <c r="B8" s="40" t="s">
        <v>2488</v>
      </c>
      <c r="C8" s="40" t="s">
        <v>2489</v>
      </c>
      <c r="D8" s="40" t="s">
        <v>2490</v>
      </c>
      <c r="E8" s="40" t="s">
        <v>2491</v>
      </c>
      <c r="F8" s="40" t="s">
        <v>2492</v>
      </c>
      <c r="G8" s="40" t="s">
        <v>2493</v>
      </c>
      <c r="H8" s="41" t="s">
        <v>2494</v>
      </c>
    </row>
    <row r="9" spans="1:8" ht="118.8" customHeight="1">
      <c r="A9" s="39" t="s">
        <v>1261</v>
      </c>
      <c r="B9" s="40" t="s">
        <v>2495</v>
      </c>
      <c r="C9" s="40" t="s">
        <v>2496</v>
      </c>
      <c r="D9" s="40" t="s">
        <v>2497</v>
      </c>
      <c r="E9" s="40" t="s">
        <v>2498</v>
      </c>
      <c r="F9" s="40" t="s">
        <v>2499</v>
      </c>
      <c r="G9" s="40" t="s">
        <v>2500</v>
      </c>
      <c r="H9" s="41" t="s">
        <v>2501</v>
      </c>
    </row>
    <row r="10" spans="1:8" ht="132" customHeight="1">
      <c r="A10" s="42" t="s">
        <v>1270</v>
      </c>
      <c r="B10" s="43" t="s">
        <v>2502</v>
      </c>
      <c r="C10" s="43" t="s">
        <v>2347</v>
      </c>
      <c r="D10" s="43" t="s">
        <v>2503</v>
      </c>
      <c r="E10" s="43" t="s">
        <v>1516</v>
      </c>
      <c r="F10" s="43" t="s">
        <v>2504</v>
      </c>
      <c r="G10" s="43" t="s">
        <v>2505</v>
      </c>
      <c r="H10" s="44" t="s">
        <v>2506</v>
      </c>
    </row>
    <row r="11" spans="1:8" ht="15" customHeight="1">
      <c r="A11" s="29"/>
      <c r="B11" s="29"/>
      <c r="C11" s="29"/>
      <c r="D11" s="29"/>
      <c r="E11" s="29"/>
      <c r="F11" s="29"/>
      <c r="G11" s="29"/>
      <c r="H11" s="29"/>
    </row>
    <row r="12" spans="1:8" ht="39.6" customHeight="1">
      <c r="A12" s="29" t="s">
        <v>22</v>
      </c>
      <c r="B12" s="29" t="s">
        <v>2507</v>
      </c>
      <c r="C12" s="29" t="s">
        <v>2508</v>
      </c>
      <c r="D12" s="29" t="s">
        <v>2509</v>
      </c>
      <c r="E12" s="29" t="s">
        <v>2510</v>
      </c>
      <c r="F12" s="29" t="s">
        <v>2511</v>
      </c>
      <c r="G12" s="29" t="s">
        <v>2512</v>
      </c>
      <c r="H12" s="29" t="s">
        <v>2513</v>
      </c>
    </row>
    <row r="13" spans="1:8" ht="145.19999999999999" customHeight="1">
      <c r="A13" s="29" t="s">
        <v>10</v>
      </c>
      <c r="B13" s="29" t="s">
        <v>2514</v>
      </c>
      <c r="C13" s="29" t="s">
        <v>2515</v>
      </c>
      <c r="D13" s="29" t="s">
        <v>2516</v>
      </c>
      <c r="E13" s="29" t="s">
        <v>2517</v>
      </c>
      <c r="F13" s="29" t="s">
        <v>2518</v>
      </c>
      <c r="G13" s="29" t="s">
        <v>1512</v>
      </c>
      <c r="H13" s="29" t="str">
        <f>IF(COUNTIFS('02 Master Plan'!$B$6:$B$120,A13,'02 Master Plan'!$D$6:$D$120,"MUST",'02 Master Plan'!$S$6:$S$120,"&lt;&gt;Done")=0,"Ready to teach","In progress")</f>
        <v>In progress</v>
      </c>
    </row>
    <row r="14" spans="1:8" ht="145.19999999999999" customHeight="1">
      <c r="A14" s="29" t="s">
        <v>25</v>
      </c>
      <c r="B14" s="29" t="s">
        <v>2519</v>
      </c>
      <c r="C14" s="29" t="s">
        <v>2520</v>
      </c>
      <c r="D14" s="29" t="s">
        <v>2521</v>
      </c>
      <c r="E14" s="29" t="s">
        <v>2522</v>
      </c>
      <c r="F14" s="29" t="s">
        <v>2523</v>
      </c>
      <c r="G14" s="29" t="s">
        <v>1648</v>
      </c>
      <c r="H14" s="29" t="str">
        <f>IF(COUNTIFS('02 Master Plan'!$B$6:$B$120,A14,'02 Master Plan'!$D$6:$D$120,"MUST",'02 Master Plan'!$S$6:$S$120,"&lt;&gt;Done")=0,"Ready to teach","In progress")</f>
        <v>In progress</v>
      </c>
    </row>
    <row r="15" spans="1:8" ht="118.8" customHeight="1">
      <c r="A15" s="29" t="s">
        <v>26</v>
      </c>
      <c r="B15" s="29" t="s">
        <v>2524</v>
      </c>
      <c r="C15" s="29" t="s">
        <v>2525</v>
      </c>
      <c r="D15" s="29" t="s">
        <v>2526</v>
      </c>
      <c r="E15" s="29" t="s">
        <v>2527</v>
      </c>
      <c r="F15" s="29" t="s">
        <v>2528</v>
      </c>
      <c r="G15" s="29" t="s">
        <v>1772</v>
      </c>
      <c r="H15" s="29" t="str">
        <f>IF(COUNTIFS('02 Master Plan'!$B$6:$B$120,A15,'02 Master Plan'!$D$6:$D$120,"MUST",'02 Master Plan'!$S$6:$S$120,"&lt;&gt;Done")=0,"Ready to teach","In progress")</f>
        <v>In progress</v>
      </c>
    </row>
    <row r="16" spans="1:8" ht="118.8" customHeight="1">
      <c r="A16" s="29" t="s">
        <v>27</v>
      </c>
      <c r="B16" s="29" t="s">
        <v>2529</v>
      </c>
      <c r="C16" s="29" t="s">
        <v>2530</v>
      </c>
      <c r="D16" s="29" t="s">
        <v>2531</v>
      </c>
      <c r="E16" s="29" t="s">
        <v>2532</v>
      </c>
      <c r="F16" s="29" t="s">
        <v>2533</v>
      </c>
      <c r="G16" s="29" t="s">
        <v>1900</v>
      </c>
      <c r="H16" s="29" t="str">
        <f>IF(COUNTIFS('02 Master Plan'!$B$6:$B$120,A16,'02 Master Plan'!$D$6:$D$120,"MUST",'02 Master Plan'!$S$6:$S$120,"&lt;&gt;Done")=0,"Ready to teach","In progress")</f>
        <v>In progress</v>
      </c>
    </row>
    <row r="17" spans="1:8" ht="118.8" customHeight="1">
      <c r="A17" s="29" t="s">
        <v>28</v>
      </c>
      <c r="B17" s="29" t="s">
        <v>2534</v>
      </c>
      <c r="C17" s="29" t="s">
        <v>2535</v>
      </c>
      <c r="D17" s="29" t="s">
        <v>2536</v>
      </c>
      <c r="E17" s="29" t="s">
        <v>2537</v>
      </c>
      <c r="F17" s="29" t="s">
        <v>2538</v>
      </c>
      <c r="G17" s="29" t="s">
        <v>2047</v>
      </c>
      <c r="H17" s="29" t="str">
        <f>IF(COUNTIFS('02 Master Plan'!$B$6:$B$120,A17,'02 Master Plan'!$D$6:$D$120,"MUST",'02 Master Plan'!$S$6:$S$120,"&lt;&gt;Done")=0,"Ready to teach","In progress")</f>
        <v>In progress</v>
      </c>
    </row>
    <row r="18" spans="1:8" ht="132" customHeight="1">
      <c r="A18" s="29" t="s">
        <v>29</v>
      </c>
      <c r="B18" s="29" t="s">
        <v>2539</v>
      </c>
      <c r="C18" s="29" t="s">
        <v>2540</v>
      </c>
      <c r="D18" s="29" t="s">
        <v>2541</v>
      </c>
      <c r="E18" s="29" t="s">
        <v>2542</v>
      </c>
      <c r="F18" s="29" t="s">
        <v>2543</v>
      </c>
      <c r="G18" s="29" t="s">
        <v>2186</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14" t="s">
        <v>2544</v>
      </c>
      <c r="B20" s="114"/>
      <c r="C20" s="114"/>
      <c r="D20" s="114"/>
      <c r="E20" s="114"/>
      <c r="F20" s="114"/>
      <c r="G20" s="114"/>
      <c r="H20" s="114"/>
    </row>
    <row r="21" spans="1:8" ht="118.8" customHeight="1">
      <c r="A21" s="45" t="s">
        <v>2545</v>
      </c>
      <c r="B21" s="46" t="s">
        <v>2546</v>
      </c>
      <c r="C21" s="29"/>
      <c r="D21" s="29"/>
      <c r="E21" s="29"/>
      <c r="F21" s="29"/>
      <c r="G21" s="29"/>
      <c r="H21" s="29"/>
    </row>
    <row r="22" spans="1:8" ht="132" customHeight="1">
      <c r="A22" s="47" t="s">
        <v>2547</v>
      </c>
      <c r="B22" s="48" t="s">
        <v>2548</v>
      </c>
      <c r="C22" s="29"/>
      <c r="D22" s="29"/>
      <c r="E22" s="29"/>
      <c r="F22" s="29"/>
      <c r="G22" s="29"/>
      <c r="H22" s="29"/>
    </row>
    <row r="23" spans="1:8" ht="132" customHeight="1">
      <c r="A23" s="47" t="s">
        <v>2549</v>
      </c>
      <c r="B23" s="48" t="s">
        <v>2550</v>
      </c>
      <c r="C23" s="29"/>
      <c r="D23" s="29"/>
      <c r="E23" s="29"/>
      <c r="F23" s="29"/>
      <c r="G23" s="29"/>
      <c r="H23" s="29"/>
    </row>
    <row r="24" spans="1:8" ht="132" customHeight="1">
      <c r="A24" s="47" t="s">
        <v>762</v>
      </c>
      <c r="B24" s="48" t="s">
        <v>2551</v>
      </c>
      <c r="C24" s="29"/>
      <c r="D24" s="29"/>
      <c r="E24" s="29"/>
      <c r="F24" s="29"/>
      <c r="G24" s="29"/>
      <c r="H24" s="29"/>
    </row>
    <row r="25" spans="1:8" ht="132" customHeight="1">
      <c r="A25" s="47" t="s">
        <v>2552</v>
      </c>
      <c r="B25" s="48" t="s">
        <v>2553</v>
      </c>
      <c r="C25" s="29"/>
      <c r="D25" s="29"/>
      <c r="E25" s="29"/>
      <c r="F25" s="29"/>
      <c r="G25" s="29"/>
      <c r="H25" s="29"/>
    </row>
    <row r="26" spans="1:8" ht="132" customHeight="1">
      <c r="A26" s="49" t="s">
        <v>2554</v>
      </c>
      <c r="B26" s="50" t="s">
        <v>2555</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 Rai</dc:creator>
  <cp:lastModifiedBy>G P Rai</cp:lastModifiedBy>
  <dcterms:created xsi:type="dcterms:W3CDTF">2026-08-20T16:46:20Z</dcterms:created>
  <dcterms:modified xsi:type="dcterms:W3CDTF">2026-08-20T17:12:12Z</dcterms:modified>
</cp:coreProperties>
</file>